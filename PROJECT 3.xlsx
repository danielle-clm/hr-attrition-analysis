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sa\Downloads\"/>
    </mc:Choice>
  </mc:AlternateContent>
  <xr:revisionPtr revIDLastSave="0" documentId="13_ncr:1_{69E23848-C576-44FA-A0E2-15A0260AEFC4}" xr6:coauthVersionLast="47" xr6:coauthVersionMax="47" xr10:uidLastSave="{00000000-0000-0000-0000-000000000000}"/>
  <bookViews>
    <workbookView xWindow="-110" yWindow="-110" windowWidth="19420" windowHeight="10420" firstSheet="1" xr2:uid="{00000000-000D-0000-FFFF-FFFF00000000}"/>
  </bookViews>
  <sheets>
    <sheet name="ANALYZED" sheetId="3" r:id="rId1"/>
    <sheet name="JobRole_Income" sheetId="4" r:id="rId2"/>
    <sheet name="Dep_Attrition" sheetId="2" r:id="rId3"/>
    <sheet name="JobRole_Attrit." sheetId="5" r:id="rId4"/>
    <sheet name="Overtime_Attrition" sheetId="6" r:id="rId5"/>
    <sheet name="Age_Attrition" sheetId="7" r:id="rId6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7" l="1"/>
  <c r="D5" i="7"/>
  <c r="D4" i="7"/>
  <c r="D3" i="7"/>
  <c r="D2" i="7"/>
  <c r="C6" i="7"/>
  <c r="C5" i="7"/>
  <c r="C4" i="7"/>
  <c r="C3" i="7"/>
  <c r="C2" i="7"/>
  <c r="C3" i="6"/>
  <c r="C2" i="6"/>
  <c r="B3" i="6"/>
  <c r="B2" i="6"/>
  <c r="C3" i="2"/>
  <c r="C4" i="2"/>
  <c r="C2" i="2"/>
  <c r="D3" i="5"/>
  <c r="C3" i="5"/>
  <c r="C4" i="5"/>
  <c r="D4" i="5" s="1"/>
  <c r="C5" i="5"/>
  <c r="D5" i="5" s="1"/>
  <c r="C6" i="5"/>
  <c r="D6" i="5" s="1"/>
  <c r="C7" i="5"/>
  <c r="C8" i="5"/>
  <c r="D8" i="5" s="1"/>
  <c r="C9" i="5"/>
  <c r="D9" i="5" s="1"/>
  <c r="C10" i="5"/>
  <c r="D10" i="5" s="1"/>
  <c r="C2" i="5"/>
  <c r="D2" i="5" s="1"/>
  <c r="B3" i="5"/>
  <c r="B4" i="5"/>
  <c r="B5" i="5"/>
  <c r="B6" i="5"/>
  <c r="B7" i="5"/>
  <c r="D7" i="5" s="1"/>
  <c r="B8" i="5"/>
  <c r="B9" i="5"/>
  <c r="B10" i="5"/>
  <c r="B2" i="5"/>
  <c r="B2" i="2"/>
  <c r="B3" i="2"/>
  <c r="B4" i="2"/>
  <c r="B5" i="4"/>
  <c r="B2" i="4"/>
  <c r="D2" i="4" s="1"/>
  <c r="C2" i="4"/>
  <c r="B3" i="4"/>
  <c r="D3" i="4" s="1"/>
  <c r="C3" i="4"/>
  <c r="B4" i="4"/>
  <c r="C4" i="4"/>
  <c r="C5" i="4"/>
  <c r="B6" i="4"/>
  <c r="C6" i="4"/>
  <c r="B7" i="4"/>
  <c r="D7" i="4" s="1"/>
  <c r="C7" i="4"/>
  <c r="B8" i="4"/>
  <c r="C8" i="4"/>
  <c r="D8" i="4" s="1"/>
  <c r="B9" i="4"/>
  <c r="C9" i="4"/>
  <c r="B10" i="4"/>
  <c r="C10" i="4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D10" i="4" l="1"/>
  <c r="D6" i="4"/>
  <c r="D5" i="4"/>
  <c r="D4" i="2"/>
  <c r="D9" i="4"/>
  <c r="D3" i="2"/>
  <c r="D4" i="4"/>
  <c r="D2" i="2"/>
  <c r="E5" i="7"/>
  <c r="E4" i="7"/>
  <c r="E3" i="7"/>
  <c r="E6" i="7"/>
  <c r="E2" i="7"/>
  <c r="D2" i="6"/>
  <c r="D3" i="6"/>
</calcChain>
</file>

<file path=xl/sharedStrings.xml><?xml version="1.0" encoding="utf-8"?>
<sst xmlns="http://schemas.openxmlformats.org/spreadsheetml/2006/main" count="13320" uniqueCount="84">
  <si>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</si>
  <si>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</si>
  <si>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</si>
  <si>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</si>
  <si>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</si>
  <si>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</si>
  <si>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</si>
  <si>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</si>
  <si>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</si>
  <si>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</si>
  <si>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</si>
  <si>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</si>
  <si>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</si>
  <si>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</si>
  <si>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</si>
  <si>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</si>
  <si>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</si>
  <si>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</si>
  <si>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</si>
  <si>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</si>
  <si>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</si>
  <si>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</si>
  <si>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</si>
  <si>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</si>
  <si>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</si>
  <si>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</si>
  <si>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</si>
  <si>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</si>
  <si>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</si>
  <si>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</si>
  <si>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</si>
  <si>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</si>
  <si>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</si>
  <si>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</si>
  <si>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</si>
  <si>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</si>
  <si>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</si>
  <si>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</si>
  <si>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</si>
  <si>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</si>
  <si>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</si>
  <si>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</si>
  <si>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</si>
  <si>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</si>
  <si>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</si>
  <si>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</si>
  <si>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</si>
  <si>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</si>
  <si>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</si>
  <si>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</si>
  <si>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</si>
  <si>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</si>
  <si>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</si>
  <si>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</si>
  <si>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</si>
  <si>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</si>
  <si>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</si>
  <si>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</si>
  <si>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</si>
  <si>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</si>
  <si>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</si>
  <si>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</si>
  <si>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Salaryflag</t>
  </si>
  <si>
    <t>Departments</t>
  </si>
  <si>
    <t>Total Income</t>
  </si>
  <si>
    <t>Headcount</t>
  </si>
  <si>
    <t>Avg Income</t>
  </si>
  <si>
    <t>Nb Who Left</t>
  </si>
  <si>
    <t>Attrition Rate</t>
  </si>
  <si>
    <t>Total Employees</t>
  </si>
  <si>
    <t>Overtime</t>
  </si>
  <si>
    <t>Nb who left</t>
  </si>
  <si>
    <t>Age Group</t>
  </si>
  <si>
    <t>18-25</t>
  </si>
  <si>
    <t>26-35</t>
  </si>
  <si>
    <t>36-45</t>
  </si>
  <si>
    <t>46-55</t>
  </si>
  <si>
    <t>56-60</t>
  </si>
  <si>
    <t>Range</t>
  </si>
  <si>
    <t>Young / Entry Level</t>
  </si>
  <si>
    <t>Early Career</t>
  </si>
  <si>
    <t>Mid Career</t>
  </si>
  <si>
    <t>Senior</t>
  </si>
  <si>
    <t>Near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</si>
</sst>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4181F"/>
      <name val="Var(--font-mono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18" fillId="0" borderId="0" xfId="0" applyFont="1" applyAlignment="1">
      <alignment vertical="center"/>
    </xf>
    <xf numFmtId="0" fontId="0" fillId="0" borderId="0" xfId="1" applyNumberFormat="1" applyFont="1"/>
    <xf numFmtId="0" fontId="0" fillId="33" borderId="0" xfId="0" applyFill="1" applyBorder="1"/>
    <xf numFmtId="9" fontId="18" fillId="33" borderId="0" xfId="2" applyFont="1" applyFill="1" applyBorder="1" applyAlignment="1">
      <alignment vertical="center"/>
    </xf>
    <xf numFmtId="0" fontId="18" fillId="33" borderId="0" xfId="0" applyFont="1" applyFill="1" applyBorder="1" applyAlignment="1">
      <alignment vertical="center"/>
    </xf>
    <xf numFmtId="9" fontId="0" fillId="33" borderId="0" xfId="2" applyFont="1" applyFill="1" applyBorder="1"/>
    <xf numFmtId="44" fontId="0" fillId="33" borderId="0" xfId="1" applyFont="1" applyFill="1" applyBorder="1"/>
    <xf numFmtId="0" fontId="0" fillId="33" borderId="0" xfId="0" applyFill="1" applyBorder="1" applyAlignment="1"/>
    <xf numFmtId="0" fontId="0" fillId="33" borderId="0" xfId="0" applyFill="1"/>
    <xf numFmtId="44" fontId="0" fillId="33" borderId="0" xfId="1" applyFont="1" applyFill="1"/>
  </cellXfs>
  <cellStyles count="44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Entrée" xfId="11" builtinId="20" customBuiltin="1"/>
    <cellStyle name="Insatisfaisant" xfId="9" builtinId="27" customBuiltin="1"/>
    <cellStyle name="Monétaire" xfId="1" builtinId="4"/>
    <cellStyle name="Neutre" xfId="10" builtinId="28" customBuiltin="1"/>
    <cellStyle name="Normal" xfId="0" builtinId="0"/>
    <cellStyle name="Note" xfId="17" builtinId="10" customBuiltin="1"/>
    <cellStyle name="Pourcentage" xfId="2" builtinId="5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1159230096238"/>
          <c:y val="0.16245370370370371"/>
          <c:w val="0.8849884076990376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Dep_Attrition!$D$1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3C-4BFB-BB6B-8F57B5A2A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Dep_Attrition!$A$2:$A$4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Dep_Attrition!$D$2:$D$4</c:f>
              <c:numCache>
                <c:formatCode>0%</c:formatCode>
                <c:ptCount val="3"/>
                <c:pt idx="0">
                  <c:v>0.20627802690582961</c:v>
                </c:pt>
                <c:pt idx="1">
                  <c:v>0.13839750260145681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C-4BFB-BB6B-8F57B5A2A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747176"/>
        <c:axId val="580754064"/>
      </c:barChart>
      <c:catAx>
        <c:axId val="58074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54064"/>
        <c:crosses val="autoZero"/>
        <c:auto val="1"/>
        <c:lblAlgn val="ctr"/>
        <c:lblOffset val="100"/>
        <c:noMultiLvlLbl val="0"/>
      </c:catAx>
      <c:valAx>
        <c:axId val="5807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4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Overtime_Attrition!$D$1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DD-41E7-BD8A-8152DD30E2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Overtime_Attrition!$A$2:$A$3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Overtime_Attrition!$D$2:$D$3</c:f>
              <c:numCache>
                <c:formatCode>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D-41E7-BD8A-8152DD30E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817744"/>
        <c:axId val="568818400"/>
      </c:barChart>
      <c:catAx>
        <c:axId val="56881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18400"/>
        <c:crosses val="autoZero"/>
        <c:auto val="1"/>
        <c:lblAlgn val="ctr"/>
        <c:lblOffset val="100"/>
        <c:noMultiLvlLbl val="0"/>
      </c:catAx>
      <c:valAx>
        <c:axId val="5688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1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Age_Attrition!$E$1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502C-46A5-B042-91134365A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Age_Attrition!$A$2:$A$6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56-60</c:v>
                </c:pt>
              </c:strCache>
            </c:strRef>
          </c:cat>
          <c:val>
            <c:numRef>
              <c:f>Age_Attrition!$E$2:$E$6</c:f>
              <c:numCache>
                <c:formatCode>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C-46A5-B042-91134365A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7334296"/>
        <c:axId val="567334624"/>
        <c:axId val="0"/>
      </c:bar3DChart>
      <c:catAx>
        <c:axId val="56733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34624"/>
        <c:crosses val="autoZero"/>
        <c:auto val="1"/>
        <c:lblAlgn val="ctr"/>
        <c:lblOffset val="100"/>
        <c:noMultiLvlLbl val="0"/>
      </c:catAx>
      <c:valAx>
        <c:axId val="5673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34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746125</xdr:colOff>
      <xdr:row>1</xdr:row>
      <xdr:rowOff>111125</xdr:rowOff>
    </xdr:from>
    <xdr:to>
      <xdr:col>10</xdr:col>
      <xdr:colOff>396875</xdr:colOff>
      <xdr:row>16</xdr:row>
      <xdr:rowOff>92075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7947480-AC34-45F3-AD8A-8354882D2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41275</xdr:rowOff>
    </xdr:from>
    <xdr:to>
      <xdr:col>10</xdr:col>
      <xdr:colOff>219075</xdr:colOff>
      <xdr:row>17</xdr:row>
      <xdr:rowOff>22225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7297E7-0051-40B5-8091-7ED50041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727075</xdr:colOff>
      <xdr:row>1</xdr:row>
      <xdr:rowOff>130175</xdr:rowOff>
    </xdr:from>
    <xdr:to>
      <xdr:col>11</xdr:col>
      <xdr:colOff>727075</xdr:colOff>
      <xdr:row>16</xdr:row>
      <xdr:rowOff>111125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5CF90D-19F8-4A14-A8B9-F9AE798B2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J1471" totalsRowShown="0">
  <autoFilter ref="A1:AJ1471" xr:uid="{00000000-0009-0000-0100-000001000000}"/>
  <tableColumns count="36">
    <tableColumn id="1" xr3:uid="{00000000-0010-0000-0000-000001000000}" name="Age"/>
    <tableColumn id="2" xr3:uid="{00000000-0010-0000-0000-000002000000}" name="Attrition"/>
    <tableColumn id="3" xr3:uid="{00000000-0010-0000-0000-000003000000}" name="BusinessTravel"/>
    <tableColumn id="4" xr3:uid="{00000000-0010-0000-0000-000004000000}" name="DailyRate"/>
    <tableColumn id="5" xr3:uid="{00000000-0010-0000-0000-000005000000}" name="Department"/>
    <tableColumn id="6" xr3:uid="{00000000-0010-0000-0000-000006000000}" name="DistanceFromHome"/>
    <tableColumn id="7" xr3:uid="{00000000-0010-0000-0000-000007000000}" name="Education"/>
    <tableColumn id="8" xr3:uid="{00000000-0010-0000-0000-000008000000}" name="EducationField"/>
    <tableColumn id="9" xr3:uid="{00000000-0010-0000-0000-000009000000}" name="EmployeeCount"/>
    <tableColumn id="10" xr3:uid="{00000000-0010-0000-0000-00000A000000}" name="EmployeeNumber"/>
    <tableColumn id="11" xr3:uid="{00000000-0010-0000-0000-00000B000000}" name="EnvironmentSatisfaction"/>
    <tableColumn id="12" xr3:uid="{00000000-0010-0000-0000-00000C000000}" name="Gender"/>
    <tableColumn id="13" xr3:uid="{00000000-0010-0000-0000-00000D000000}" name="HourlyRate"/>
    <tableColumn id="14" xr3:uid="{00000000-0010-0000-0000-00000E000000}" name="JobInvolvement"/>
    <tableColumn id="15" xr3:uid="{00000000-0010-0000-0000-00000F000000}" name="JobLevel"/>
    <tableColumn id="16" xr3:uid="{00000000-0010-0000-0000-000010000000}" name="JobRole"/>
    <tableColumn id="17" xr3:uid="{00000000-0010-0000-0000-000011000000}" name="JobSatisfaction"/>
    <tableColumn id="18" xr3:uid="{00000000-0010-0000-0000-000012000000}" name="MaritalStatus"/>
    <tableColumn id="19" xr3:uid="{00000000-0010-0000-0000-000013000000}" name="MonthlyIncome" dataCellStyle="Monétaire"/>
    <tableColumn id="36" xr3:uid="{00000000-0010-0000-0000-000024000000}" name="Salaryflag" dataDxfId="0" dataCellStyle="Monétaire">
      <calculatedColumnFormula>IF( S2 &lt; AVERAGE($S$2:$S$1471), "Below Avg", "Above Avg" )</calculatedColumnFormula>
    </tableColumn>
    <tableColumn id="20" xr3:uid="{00000000-0010-0000-0000-000014000000}" name="MonthlyRate" dataCellStyle="Monétaire"/>
    <tableColumn id="21" xr3:uid="{00000000-0010-0000-0000-000015000000}" name="NumCompaniesWorked"/>
    <tableColumn id="22" xr3:uid="{00000000-0010-0000-0000-000016000000}" name="Over18"/>
    <tableColumn id="23" xr3:uid="{00000000-0010-0000-0000-000017000000}" name="OverTime"/>
    <tableColumn id="24" xr3:uid="{00000000-0010-0000-0000-000018000000}" name="PercentSalaryHike"/>
    <tableColumn id="25" xr3:uid="{00000000-0010-0000-0000-000019000000}" name="PerformanceRating"/>
    <tableColumn id="26" xr3:uid="{00000000-0010-0000-0000-00001A000000}" name="RelationshipSatisfaction"/>
    <tableColumn id="27" xr3:uid="{00000000-0010-0000-0000-00001B000000}" name="StandardHours"/>
    <tableColumn id="28" xr3:uid="{00000000-0010-0000-0000-00001C000000}" name="StockOptionLevel"/>
    <tableColumn id="29" xr3:uid="{00000000-0010-0000-0000-00001D000000}" name="TotalWorkingYears"/>
    <tableColumn id="30" xr3:uid="{00000000-0010-0000-0000-00001E000000}" name="TrainingTimesLastYear"/>
    <tableColumn id="31" xr3:uid="{00000000-0010-0000-0000-00001F000000}" name="WorkLifeBalance"/>
    <tableColumn id="32" xr3:uid="{00000000-0010-0000-0000-000020000000}" name="YearsAtCompany"/>
    <tableColumn id="33" xr3:uid="{00000000-0010-0000-0000-000021000000}" name="YearsInCurrentRole"/>
    <tableColumn id="34" xr3:uid="{00000000-0010-0000-0000-000022000000}" name="YearsSinceLastPromotion"/>
    <tableColumn id="35" xr3:uid="{00000000-0010-0000-0000-000023000000}" name="YearsWithCurrManag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RowHeight="14.5"/>
  <cols>
    <col min="1" max="1" width="6.1796875" bestFit="1" customWidth="1"/>
    <col min="2" max="2" width="10.26953125" bestFit="1" customWidth="1"/>
    <col min="3" max="3" width="15.90625" bestFit="1" customWidth="1"/>
    <col min="4" max="4" width="11" bestFit="1" customWidth="1"/>
    <col min="5" max="5" width="22" bestFit="1" customWidth="1"/>
    <col min="6" max="6" width="19.7265625" bestFit="1" customWidth="1"/>
    <col min="7" max="7" width="11.453125" bestFit="1" customWidth="1"/>
    <col min="8" max="8" width="15.90625" bestFit="1" customWidth="1"/>
    <col min="9" max="9" width="16.36328125" bestFit="1" customWidth="1"/>
    <col min="10" max="10" width="18.1796875" bestFit="1" customWidth="1"/>
    <col min="11" max="11" width="23.81640625" bestFit="1" customWidth="1"/>
    <col min="12" max="12" width="9.26953125" bestFit="1" customWidth="1"/>
    <col min="13" max="13" width="12.453125" bestFit="1" customWidth="1"/>
    <col min="14" max="14" width="16.36328125" bestFit="1" customWidth="1"/>
    <col min="15" max="15" width="10.08984375" bestFit="1" customWidth="1"/>
    <col min="16" max="16" width="22.90625" bestFit="1" customWidth="1"/>
    <col min="17" max="17" width="15.6328125" bestFit="1" customWidth="1"/>
    <col min="18" max="18" width="14.453125" bestFit="1" customWidth="1"/>
    <col min="19" max="19" width="16.36328125" style="1" bestFit="1" customWidth="1"/>
    <col min="20" max="20" width="12.36328125" style="1" bestFit="1" customWidth="1"/>
    <col min="21" max="21" width="15.26953125" bestFit="1" customWidth="1"/>
    <col min="22" max="22" width="9.08984375" bestFit="1" customWidth="1"/>
    <col min="23" max="23" width="11.1796875" bestFit="1" customWidth="1"/>
    <col min="24" max="24" width="18.36328125" bestFit="1" customWidth="1"/>
    <col min="25" max="25" width="19.26953125" bestFit="1" customWidth="1"/>
    <col min="26" max="26" width="23.36328125" bestFit="1" customWidth="1"/>
    <col min="27" max="27" width="15.7265625" bestFit="1" customWidth="1"/>
    <col min="28" max="28" width="17.6328125" bestFit="1" customWidth="1"/>
    <col min="29" max="29" width="19.08984375" bestFit="1" customWidth="1"/>
    <col min="30" max="30" width="21.90625" bestFit="1" customWidth="1"/>
    <col min="31" max="31" width="17.08984375" bestFit="1" customWidth="1"/>
    <col min="32" max="32" width="17.453125" bestFit="1" customWidth="1"/>
    <col min="33" max="33" width="19.453125" bestFit="1" customWidth="1"/>
    <col min="34" max="34" width="24.453125" bestFit="1" customWidth="1"/>
    <col min="35" max="35" width="22.906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62</v>
      </c>
      <c r="U1" s="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 s="1">
        <v>5993</v>
      </c>
      <c r="T2" s="2" t="str">
        <f t="shared" ref="T2:T65" si="0">IF( S2 &lt; AVERAGE($S$2:$S$1471), "Below Avg", "Above Avg" )</f>
        <v>Below Avg</v>
      </c>
      <c r="U2" s="1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 s="1">
        <v>5130</v>
      </c>
      <c r="T3" s="3" t="str">
        <f t="shared" si="0"/>
        <v>Below Avg</v>
      </c>
      <c r="U3" s="1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 s="1">
        <v>2090</v>
      </c>
      <c r="T4" s="3" t="str">
        <f t="shared" si="0"/>
        <v>Below Avg</v>
      </c>
      <c r="U4" s="1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 s="1">
        <v>2909</v>
      </c>
      <c r="T5" s="3" t="str">
        <f t="shared" si="0"/>
        <v>Below Avg</v>
      </c>
      <c r="U5" s="1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 s="1">
        <v>3468</v>
      </c>
      <c r="T6" s="3" t="str">
        <f t="shared" si="0"/>
        <v>Below Avg</v>
      </c>
      <c r="U6" s="1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 s="1">
        <v>3068</v>
      </c>
      <c r="T7" s="3" t="str">
        <f t="shared" si="0"/>
        <v>Below Avg</v>
      </c>
      <c r="U7" s="1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 s="1">
        <v>2670</v>
      </c>
      <c r="T8" s="3" t="str">
        <f t="shared" si="0"/>
        <v>Below Avg</v>
      </c>
      <c r="U8" s="1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 s="1">
        <v>2693</v>
      </c>
      <c r="T9" s="3" t="str">
        <f t="shared" si="0"/>
        <v>Below Avg</v>
      </c>
      <c r="U9" s="1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1">
        <v>9526</v>
      </c>
      <c r="T10" s="3" t="str">
        <f t="shared" si="0"/>
        <v>Above Avg</v>
      </c>
      <c r="U10" s="1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 s="1">
        <v>5237</v>
      </c>
      <c r="T11" s="3" t="str">
        <f t="shared" si="0"/>
        <v>Below Avg</v>
      </c>
      <c r="U11" s="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 s="1">
        <v>2426</v>
      </c>
      <c r="T12" s="3" t="str">
        <f t="shared" si="0"/>
        <v>Below Avg</v>
      </c>
      <c r="U12" s="1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 s="1">
        <v>4193</v>
      </c>
      <c r="T13" s="3" t="str">
        <f t="shared" si="0"/>
        <v>Below Avg</v>
      </c>
      <c r="U13" s="1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 s="1">
        <v>2911</v>
      </c>
      <c r="T14" s="3" t="str">
        <f t="shared" si="0"/>
        <v>Below Avg</v>
      </c>
      <c r="U14" s="1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 s="1">
        <v>2661</v>
      </c>
      <c r="T15" s="3" t="str">
        <f t="shared" si="0"/>
        <v>Below Avg</v>
      </c>
      <c r="U15" s="1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 s="1">
        <v>2028</v>
      </c>
      <c r="T16" s="3" t="str">
        <f t="shared" si="0"/>
        <v>Below Avg</v>
      </c>
      <c r="U16" s="1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 s="1">
        <v>9980</v>
      </c>
      <c r="T17" s="3" t="str">
        <f t="shared" si="0"/>
        <v>Above Avg</v>
      </c>
      <c r="U17" s="1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 s="1">
        <v>3298</v>
      </c>
      <c r="T18" s="3" t="str">
        <f t="shared" si="0"/>
        <v>Below Avg</v>
      </c>
      <c r="U18" s="1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 s="1">
        <v>2935</v>
      </c>
      <c r="T19" s="3" t="str">
        <f t="shared" si="0"/>
        <v>Below Avg</v>
      </c>
      <c r="U19" s="1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 s="1">
        <v>15427</v>
      </c>
      <c r="T20" s="3" t="str">
        <f t="shared" si="0"/>
        <v>Above Avg</v>
      </c>
      <c r="U20" s="1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 s="1">
        <v>3944</v>
      </c>
      <c r="T21" s="3" t="str">
        <f t="shared" si="0"/>
        <v>Below Avg</v>
      </c>
      <c r="U21" s="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 s="1">
        <v>4011</v>
      </c>
      <c r="T22" s="3" t="str">
        <f t="shared" si="0"/>
        <v>Below Avg</v>
      </c>
      <c r="U22" s="1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 s="1">
        <v>3407</v>
      </c>
      <c r="T23" s="3" t="str">
        <f t="shared" si="0"/>
        <v>Below Avg</v>
      </c>
      <c r="U23" s="1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 s="1">
        <v>11994</v>
      </c>
      <c r="T24" s="3" t="str">
        <f t="shared" si="0"/>
        <v>Above Avg</v>
      </c>
      <c r="U24" s="1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 s="1">
        <v>1232</v>
      </c>
      <c r="T25" s="3" t="str">
        <f t="shared" si="0"/>
        <v>Below Avg</v>
      </c>
      <c r="U25" s="1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 s="1">
        <v>2960</v>
      </c>
      <c r="T26" s="3" t="str">
        <f t="shared" si="0"/>
        <v>Below Avg</v>
      </c>
      <c r="U26" s="1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 s="1">
        <v>19094</v>
      </c>
      <c r="T27" s="3" t="str">
        <f t="shared" si="0"/>
        <v>Above Avg</v>
      </c>
      <c r="U27" s="1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 s="1">
        <v>3919</v>
      </c>
      <c r="T28" s="3" t="str">
        <f t="shared" si="0"/>
        <v>Below Avg</v>
      </c>
      <c r="U28" s="1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 s="1">
        <v>6825</v>
      </c>
      <c r="T29" s="3" t="str">
        <f t="shared" si="0"/>
        <v>Above Avg</v>
      </c>
      <c r="U29" s="1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 s="1">
        <v>10248</v>
      </c>
      <c r="T30" s="3" t="str">
        <f t="shared" si="0"/>
        <v>Above Avg</v>
      </c>
      <c r="U30" s="1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 s="1">
        <v>18947</v>
      </c>
      <c r="T31" s="3" t="str">
        <f t="shared" si="0"/>
        <v>Above Avg</v>
      </c>
      <c r="U31" s="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 s="1">
        <v>2496</v>
      </c>
      <c r="T32" s="3" t="str">
        <f t="shared" si="0"/>
        <v>Below Avg</v>
      </c>
      <c r="U32" s="1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 s="1">
        <v>6465</v>
      </c>
      <c r="T33" s="3" t="str">
        <f t="shared" si="0"/>
        <v>Below Avg</v>
      </c>
      <c r="U33" s="1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 s="1">
        <v>2206</v>
      </c>
      <c r="T34" s="3" t="str">
        <f t="shared" si="0"/>
        <v>Below Avg</v>
      </c>
      <c r="U34" s="1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 s="1">
        <v>2086</v>
      </c>
      <c r="T35" s="3" t="str">
        <f t="shared" si="0"/>
        <v>Below Avg</v>
      </c>
      <c r="U35" s="1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1">
        <v>2293</v>
      </c>
      <c r="T36" s="3" t="str">
        <f t="shared" si="0"/>
        <v>Below Avg</v>
      </c>
      <c r="U36" s="1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 s="1">
        <v>2645</v>
      </c>
      <c r="T37" s="3" t="str">
        <f t="shared" si="0"/>
        <v>Below Avg</v>
      </c>
      <c r="U37" s="1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 s="1">
        <v>2683</v>
      </c>
      <c r="T38" s="3" t="str">
        <f t="shared" si="0"/>
        <v>Below Avg</v>
      </c>
      <c r="U38" s="1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 s="1">
        <v>2014</v>
      </c>
      <c r="T39" s="3" t="str">
        <f t="shared" si="0"/>
        <v>Below Avg</v>
      </c>
      <c r="U39" s="1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 s="1">
        <v>3419</v>
      </c>
      <c r="T40" s="3" t="str">
        <f t="shared" si="0"/>
        <v>Below Avg</v>
      </c>
      <c r="U40" s="1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 s="1">
        <v>5376</v>
      </c>
      <c r="T41" s="3" t="str">
        <f t="shared" si="0"/>
        <v>Below Avg</v>
      </c>
      <c r="U41" s="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 s="1">
        <v>1951</v>
      </c>
      <c r="T42" s="3" t="str">
        <f t="shared" si="0"/>
        <v>Below Avg</v>
      </c>
      <c r="U42" s="1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 s="1">
        <v>2341</v>
      </c>
      <c r="T43" s="3" t="str">
        <f t="shared" si="0"/>
        <v>Below Avg</v>
      </c>
      <c r="U43" s="1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 s="1">
        <v>2293</v>
      </c>
      <c r="T44" s="3" t="str">
        <f t="shared" si="0"/>
        <v>Below Avg</v>
      </c>
      <c r="U44" s="1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 s="1">
        <v>8726</v>
      </c>
      <c r="T45" s="3" t="str">
        <f t="shared" si="0"/>
        <v>Above Avg</v>
      </c>
      <c r="U45" s="1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1">
        <v>4011</v>
      </c>
      <c r="T46" s="3" t="str">
        <f t="shared" si="0"/>
        <v>Below Avg</v>
      </c>
      <c r="U46" s="1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 s="1">
        <v>19545</v>
      </c>
      <c r="T47" s="3" t="str">
        <f t="shared" si="0"/>
        <v>Above Avg</v>
      </c>
      <c r="U47" s="1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 s="1">
        <v>4568</v>
      </c>
      <c r="T48" s="3" t="str">
        <f t="shared" si="0"/>
        <v>Below Avg</v>
      </c>
      <c r="U48" s="1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 s="1">
        <v>3022</v>
      </c>
      <c r="T49" s="3" t="str">
        <f t="shared" si="0"/>
        <v>Below Avg</v>
      </c>
      <c r="U49" s="1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 s="1">
        <v>5772</v>
      </c>
      <c r="T50" s="3" t="str">
        <f t="shared" si="0"/>
        <v>Below Avg</v>
      </c>
      <c r="U50" s="1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 s="1">
        <v>2269</v>
      </c>
      <c r="T51" s="3" t="str">
        <f t="shared" si="0"/>
        <v>Below Avg</v>
      </c>
      <c r="U51" s="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 s="1">
        <v>5381</v>
      </c>
      <c r="T52" s="3" t="str">
        <f t="shared" si="0"/>
        <v>Below Avg</v>
      </c>
      <c r="U52" s="1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 s="1">
        <v>3441</v>
      </c>
      <c r="T53" s="3" t="str">
        <f t="shared" si="0"/>
        <v>Below Avg</v>
      </c>
      <c r="U53" s="1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 s="1">
        <v>5454</v>
      </c>
      <c r="T54" s="3" t="str">
        <f t="shared" si="0"/>
        <v>Below Avg</v>
      </c>
      <c r="U54" s="1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 s="1">
        <v>9884</v>
      </c>
      <c r="T55" s="3" t="str">
        <f t="shared" si="0"/>
        <v>Above Avg</v>
      </c>
      <c r="U55" s="1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 s="1">
        <v>4157</v>
      </c>
      <c r="T56" s="3" t="str">
        <f t="shared" si="0"/>
        <v>Below Avg</v>
      </c>
      <c r="U56" s="1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 s="1">
        <v>13458</v>
      </c>
      <c r="T57" s="3" t="str">
        <f t="shared" si="0"/>
        <v>Above Avg</v>
      </c>
      <c r="U57" s="1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 s="1">
        <v>9069</v>
      </c>
      <c r="T58" s="3" t="str">
        <f t="shared" si="0"/>
        <v>Above Avg</v>
      </c>
      <c r="U58" s="1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 s="1">
        <v>4014</v>
      </c>
      <c r="T59" s="3" t="str">
        <f t="shared" si="0"/>
        <v>Below Avg</v>
      </c>
      <c r="U59" s="1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 s="1">
        <v>5915</v>
      </c>
      <c r="T60" s="3" t="str">
        <f t="shared" si="0"/>
        <v>Below Avg</v>
      </c>
      <c r="U60" s="1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 s="1">
        <v>5993</v>
      </c>
      <c r="T61" s="3" t="str">
        <f t="shared" si="0"/>
        <v>Below Avg</v>
      </c>
      <c r="U61" s="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 s="1">
        <v>6162</v>
      </c>
      <c r="T62" s="3" t="str">
        <f t="shared" si="0"/>
        <v>Below Avg</v>
      </c>
      <c r="U62" s="1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 s="1">
        <v>2406</v>
      </c>
      <c r="T63" s="3" t="str">
        <f t="shared" si="0"/>
        <v>Below Avg</v>
      </c>
      <c r="U63" s="1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 s="1">
        <v>18740</v>
      </c>
      <c r="T64" s="3" t="str">
        <f t="shared" si="0"/>
        <v>Above Avg</v>
      </c>
      <c r="U64" s="1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 s="1">
        <v>7637</v>
      </c>
      <c r="T65" s="3" t="str">
        <f t="shared" si="0"/>
        <v>Above Avg</v>
      </c>
      <c r="U65" s="1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 s="1">
        <v>10096</v>
      </c>
      <c r="T66" s="3" t="str">
        <f t="shared" ref="T66:T129" si="1">IF( S66 &lt; AVERAGE($S$2:$S$1471), "Below Avg", "Above Avg" )</f>
        <v>Above Avg</v>
      </c>
      <c r="U66" s="1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 s="1">
        <v>14756</v>
      </c>
      <c r="T67" s="3" t="str">
        <f t="shared" si="1"/>
        <v>Above Avg</v>
      </c>
      <c r="U67" s="1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 s="1">
        <v>6499</v>
      </c>
      <c r="T68" s="3" t="str">
        <f t="shared" si="1"/>
        <v>Below Avg</v>
      </c>
      <c r="U68" s="1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 s="1">
        <v>9724</v>
      </c>
      <c r="T69" s="3" t="str">
        <f t="shared" si="1"/>
        <v>Above Avg</v>
      </c>
      <c r="U69" s="1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 s="1">
        <v>2194</v>
      </c>
      <c r="T70" s="3" t="str">
        <f t="shared" si="1"/>
        <v>Below Avg</v>
      </c>
      <c r="U70" s="1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 s="1">
        <v>3388</v>
      </c>
      <c r="T71" s="3" t="str">
        <f t="shared" si="1"/>
        <v>Below Avg</v>
      </c>
      <c r="U71" s="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 s="1">
        <v>5473</v>
      </c>
      <c r="T72" s="3" t="str">
        <f t="shared" si="1"/>
        <v>Below Avg</v>
      </c>
      <c r="U72" s="1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 s="1">
        <v>2703</v>
      </c>
      <c r="T73" s="3" t="str">
        <f t="shared" si="1"/>
        <v>Below Avg</v>
      </c>
      <c r="U73" s="1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 s="1">
        <v>2501</v>
      </c>
      <c r="T74" s="3" t="str">
        <f t="shared" si="1"/>
        <v>Below Avg</v>
      </c>
      <c r="U74" s="1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 s="1">
        <v>6220</v>
      </c>
      <c r="T75" s="3" t="str">
        <f t="shared" si="1"/>
        <v>Below Avg</v>
      </c>
      <c r="U75" s="1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 s="1">
        <v>3038</v>
      </c>
      <c r="T76" s="3" t="str">
        <f t="shared" si="1"/>
        <v>Below Avg</v>
      </c>
      <c r="U76" s="1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 s="1">
        <v>4424</v>
      </c>
      <c r="T77" s="3" t="str">
        <f t="shared" si="1"/>
        <v>Below Avg</v>
      </c>
      <c r="U77" s="1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 s="1">
        <v>4312</v>
      </c>
      <c r="T78" s="3" t="str">
        <f t="shared" si="1"/>
        <v>Below Avg</v>
      </c>
      <c r="U78" s="1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 s="1">
        <v>13245</v>
      </c>
      <c r="T79" s="3" t="str">
        <f t="shared" si="1"/>
        <v>Above Avg</v>
      </c>
      <c r="U79" s="1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 s="1">
        <v>13664</v>
      </c>
      <c r="T80" s="3" t="str">
        <f t="shared" si="1"/>
        <v>Above Avg</v>
      </c>
      <c r="U80" s="1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 s="1">
        <v>5021</v>
      </c>
      <c r="T81" s="3" t="str">
        <f t="shared" si="1"/>
        <v>Below Avg</v>
      </c>
      <c r="U81" s="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 s="1">
        <v>5126</v>
      </c>
      <c r="T82" s="3" t="str">
        <f t="shared" si="1"/>
        <v>Below Avg</v>
      </c>
      <c r="U82" s="1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 s="1">
        <v>2859</v>
      </c>
      <c r="T83" s="3" t="str">
        <f t="shared" si="1"/>
        <v>Below Avg</v>
      </c>
      <c r="U83" s="1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 s="1">
        <v>10239</v>
      </c>
      <c r="T84" s="3" t="str">
        <f t="shared" si="1"/>
        <v>Above Avg</v>
      </c>
      <c r="U84" s="1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 s="1">
        <v>5329</v>
      </c>
      <c r="T85" s="3" t="str">
        <f t="shared" si="1"/>
        <v>Below Avg</v>
      </c>
      <c r="U85" s="1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 s="1">
        <v>4325</v>
      </c>
      <c r="T86" s="3" t="str">
        <f t="shared" si="1"/>
        <v>Below Avg</v>
      </c>
      <c r="U86" s="1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 s="1">
        <v>7260</v>
      </c>
      <c r="T87" s="3" t="str">
        <f t="shared" si="1"/>
        <v>Above Avg</v>
      </c>
      <c r="U87" s="1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 s="1">
        <v>2322</v>
      </c>
      <c r="T88" s="3" t="str">
        <f t="shared" si="1"/>
        <v>Below Avg</v>
      </c>
      <c r="U88" s="1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 s="1">
        <v>2075</v>
      </c>
      <c r="T89" s="3" t="str">
        <f t="shared" si="1"/>
        <v>Below Avg</v>
      </c>
      <c r="U89" s="1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 s="1">
        <v>4152</v>
      </c>
      <c r="T90" s="3" t="str">
        <f t="shared" si="1"/>
        <v>Below Avg</v>
      </c>
      <c r="U90" s="1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 s="1">
        <v>9619</v>
      </c>
      <c r="T91" s="3" t="str">
        <f t="shared" si="1"/>
        <v>Above Avg</v>
      </c>
      <c r="U91" s="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 s="1">
        <v>13503</v>
      </c>
      <c r="T92" s="3" t="str">
        <f t="shared" si="1"/>
        <v>Above Avg</v>
      </c>
      <c r="U92" s="1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 s="1">
        <v>5441</v>
      </c>
      <c r="T93" s="3" t="str">
        <f t="shared" si="1"/>
        <v>Below Avg</v>
      </c>
      <c r="U93" s="1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 s="1">
        <v>5209</v>
      </c>
      <c r="T94" s="3" t="str">
        <f t="shared" si="1"/>
        <v>Below Avg</v>
      </c>
      <c r="U94" s="1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 s="1">
        <v>10673</v>
      </c>
      <c r="T95" s="3" t="str">
        <f t="shared" si="1"/>
        <v>Above Avg</v>
      </c>
      <c r="U95" s="1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 s="1">
        <v>5010</v>
      </c>
      <c r="T96" s="3" t="str">
        <f t="shared" si="1"/>
        <v>Below Avg</v>
      </c>
      <c r="U96" s="1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 s="1">
        <v>13549</v>
      </c>
      <c r="T97" s="3" t="str">
        <f t="shared" si="1"/>
        <v>Above Avg</v>
      </c>
      <c r="U97" s="1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 s="1">
        <v>4999</v>
      </c>
      <c r="T98" s="3" t="str">
        <f t="shared" si="1"/>
        <v>Below Avg</v>
      </c>
      <c r="U98" s="1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 s="1">
        <v>4221</v>
      </c>
      <c r="T99" s="3" t="str">
        <f t="shared" si="1"/>
        <v>Below Avg</v>
      </c>
      <c r="U99" s="1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 s="1">
        <v>13872</v>
      </c>
      <c r="T100" s="3" t="str">
        <f t="shared" si="1"/>
        <v>Above Avg</v>
      </c>
      <c r="U100" s="1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 s="1">
        <v>2042</v>
      </c>
      <c r="T101" s="3" t="str">
        <f t="shared" si="1"/>
        <v>Below Avg</v>
      </c>
      <c r="U101" s="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 s="1">
        <v>2073</v>
      </c>
      <c r="T102" s="3" t="str">
        <f t="shared" si="1"/>
        <v>Below Avg</v>
      </c>
      <c r="U102" s="1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 s="1">
        <v>2956</v>
      </c>
      <c r="T103" s="3" t="str">
        <f t="shared" si="1"/>
        <v>Below Avg</v>
      </c>
      <c r="U103" s="1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 s="1">
        <v>2926</v>
      </c>
      <c r="T104" s="3" t="str">
        <f t="shared" si="1"/>
        <v>Below Avg</v>
      </c>
      <c r="U104" s="1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 s="1">
        <v>4809</v>
      </c>
      <c r="T105" s="3" t="str">
        <f t="shared" si="1"/>
        <v>Below Avg</v>
      </c>
      <c r="U105" s="1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 s="1">
        <v>5163</v>
      </c>
      <c r="T106" s="3" t="str">
        <f t="shared" si="1"/>
        <v>Below Avg</v>
      </c>
      <c r="U106" s="1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 s="1">
        <v>18844</v>
      </c>
      <c r="T107" s="3" t="str">
        <f t="shared" si="1"/>
        <v>Above Avg</v>
      </c>
      <c r="U107" s="1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 s="1">
        <v>18172</v>
      </c>
      <c r="T108" s="3" t="str">
        <f t="shared" si="1"/>
        <v>Above Avg</v>
      </c>
      <c r="U108" s="1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 s="1">
        <v>5744</v>
      </c>
      <c r="T109" s="3" t="str">
        <f t="shared" si="1"/>
        <v>Below Avg</v>
      </c>
      <c r="U109" s="1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 s="1">
        <v>2889</v>
      </c>
      <c r="T110" s="3" t="str">
        <f t="shared" si="1"/>
        <v>Below Avg</v>
      </c>
      <c r="U110" s="1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 s="1">
        <v>2871</v>
      </c>
      <c r="T111" s="3" t="str">
        <f t="shared" si="1"/>
        <v>Below Avg</v>
      </c>
      <c r="U111" s="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 s="1">
        <v>7484</v>
      </c>
      <c r="T112" s="3" t="str">
        <f t="shared" si="1"/>
        <v>Above Avg</v>
      </c>
      <c r="U112" s="1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 s="1">
        <v>6074</v>
      </c>
      <c r="T113" s="3" t="str">
        <f t="shared" si="1"/>
        <v>Below Avg</v>
      </c>
      <c r="U113" s="1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 s="1">
        <v>17328</v>
      </c>
      <c r="T114" s="3" t="str">
        <f t="shared" si="1"/>
        <v>Above Avg</v>
      </c>
      <c r="U114" s="1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 s="1">
        <v>2774</v>
      </c>
      <c r="T115" s="3" t="str">
        <f t="shared" si="1"/>
        <v>Below Avg</v>
      </c>
      <c r="U115" s="1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 s="1">
        <v>4505</v>
      </c>
      <c r="T116" s="3" t="str">
        <f t="shared" si="1"/>
        <v>Below Avg</v>
      </c>
      <c r="U116" s="1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 s="1">
        <v>7428</v>
      </c>
      <c r="T117" s="3" t="str">
        <f t="shared" si="1"/>
        <v>Above Avg</v>
      </c>
      <c r="U117" s="1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 s="1">
        <v>11631</v>
      </c>
      <c r="T118" s="3" t="str">
        <f t="shared" si="1"/>
        <v>Above Avg</v>
      </c>
      <c r="U118" s="1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 s="1">
        <v>9738</v>
      </c>
      <c r="T119" s="3" t="str">
        <f t="shared" si="1"/>
        <v>Above Avg</v>
      </c>
      <c r="U119" s="1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 s="1">
        <v>2835</v>
      </c>
      <c r="T120" s="3" t="str">
        <f t="shared" si="1"/>
        <v>Below Avg</v>
      </c>
      <c r="U120" s="1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 s="1">
        <v>16959</v>
      </c>
      <c r="T121" s="3" t="str">
        <f t="shared" si="1"/>
        <v>Above Avg</v>
      </c>
      <c r="U121" s="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 s="1">
        <v>2613</v>
      </c>
      <c r="T122" s="3" t="str">
        <f t="shared" si="1"/>
        <v>Below Avg</v>
      </c>
      <c r="U122" s="1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 s="1">
        <v>6146</v>
      </c>
      <c r="T123" s="3" t="str">
        <f t="shared" si="1"/>
        <v>Below Avg</v>
      </c>
      <c r="U123" s="1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 s="1">
        <v>4963</v>
      </c>
      <c r="T124" s="3" t="str">
        <f t="shared" si="1"/>
        <v>Below Avg</v>
      </c>
      <c r="U124" s="1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 s="1">
        <v>19537</v>
      </c>
      <c r="T125" s="3" t="str">
        <f t="shared" si="1"/>
        <v>Above Avg</v>
      </c>
      <c r="U125" s="1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 s="1">
        <v>6172</v>
      </c>
      <c r="T126" s="3" t="str">
        <f t="shared" si="1"/>
        <v>Below Avg</v>
      </c>
      <c r="U126" s="1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 s="1">
        <v>2368</v>
      </c>
      <c r="T127" s="3" t="str">
        <f t="shared" si="1"/>
        <v>Below Avg</v>
      </c>
      <c r="U127" s="1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 s="1">
        <v>10312</v>
      </c>
      <c r="T128" s="3" t="str">
        <f t="shared" si="1"/>
        <v>Above Avg</v>
      </c>
      <c r="U128" s="1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 s="1">
        <v>1675</v>
      </c>
      <c r="T129" s="3" t="str">
        <f t="shared" si="1"/>
        <v>Below Avg</v>
      </c>
      <c r="U129" s="1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 s="1">
        <v>2523</v>
      </c>
      <c r="T130" s="3" t="str">
        <f t="shared" ref="T130:T193" si="2">IF( S130 &lt; AVERAGE($S$2:$S$1471), "Below Avg", "Above Avg" )</f>
        <v>Below Avg</v>
      </c>
      <c r="U130" s="1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 s="1">
        <v>6567</v>
      </c>
      <c r="T131" s="3" t="str">
        <f t="shared" si="2"/>
        <v>Above Avg</v>
      </c>
      <c r="U131" s="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 s="1">
        <v>4739</v>
      </c>
      <c r="T132" s="3" t="str">
        <f t="shared" si="2"/>
        <v>Below Avg</v>
      </c>
      <c r="U132" s="1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 s="1">
        <v>9208</v>
      </c>
      <c r="T133" s="3" t="str">
        <f t="shared" si="2"/>
        <v>Above Avg</v>
      </c>
      <c r="U133" s="1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 s="1">
        <v>4559</v>
      </c>
      <c r="T134" s="3" t="str">
        <f t="shared" si="2"/>
        <v>Below Avg</v>
      </c>
      <c r="U134" s="1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 s="1">
        <v>8189</v>
      </c>
      <c r="T135" s="3" t="str">
        <f t="shared" si="2"/>
        <v>Above Avg</v>
      </c>
      <c r="U135" s="1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 s="1">
        <v>2942</v>
      </c>
      <c r="T136" s="3" t="str">
        <f t="shared" si="2"/>
        <v>Below Avg</v>
      </c>
      <c r="U136" s="1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 s="1">
        <v>4941</v>
      </c>
      <c r="T137" s="3" t="str">
        <f t="shared" si="2"/>
        <v>Below Avg</v>
      </c>
      <c r="U137" s="1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 s="1">
        <v>10650</v>
      </c>
      <c r="T138" s="3" t="str">
        <f t="shared" si="2"/>
        <v>Above Avg</v>
      </c>
      <c r="U138" s="1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 s="1">
        <v>5902</v>
      </c>
      <c r="T139" s="3" t="str">
        <f t="shared" si="2"/>
        <v>Below Avg</v>
      </c>
      <c r="U139" s="1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 s="1">
        <v>8639</v>
      </c>
      <c r="T140" s="3" t="str">
        <f t="shared" si="2"/>
        <v>Above Avg</v>
      </c>
      <c r="U140" s="1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 s="1">
        <v>6347</v>
      </c>
      <c r="T141" s="3" t="str">
        <f t="shared" si="2"/>
        <v>Below Avg</v>
      </c>
      <c r="U141" s="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 s="1">
        <v>4200</v>
      </c>
      <c r="T142" s="3" t="str">
        <f t="shared" si="2"/>
        <v>Below Avg</v>
      </c>
      <c r="U142" s="1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 s="1">
        <v>3452</v>
      </c>
      <c r="T143" s="3" t="str">
        <f t="shared" si="2"/>
        <v>Below Avg</v>
      </c>
      <c r="U143" s="1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 s="1">
        <v>4317</v>
      </c>
      <c r="T144" s="3" t="str">
        <f t="shared" si="2"/>
        <v>Below Avg</v>
      </c>
      <c r="U144" s="1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 s="1">
        <v>2632</v>
      </c>
      <c r="T145" s="3" t="str">
        <f t="shared" si="2"/>
        <v>Below Avg</v>
      </c>
      <c r="U145" s="1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 s="1">
        <v>4668</v>
      </c>
      <c r="T146" s="3" t="str">
        <f t="shared" si="2"/>
        <v>Below Avg</v>
      </c>
      <c r="U146" s="1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 s="1">
        <v>3204</v>
      </c>
      <c r="T147" s="3" t="str">
        <f t="shared" si="2"/>
        <v>Below Avg</v>
      </c>
      <c r="U147" s="1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 s="1">
        <v>2720</v>
      </c>
      <c r="T148" s="3" t="str">
        <f t="shared" si="2"/>
        <v>Below Avg</v>
      </c>
      <c r="U148" s="1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 s="1">
        <v>17181</v>
      </c>
      <c r="T149" s="3" t="str">
        <f t="shared" si="2"/>
        <v>Above Avg</v>
      </c>
      <c r="U149" s="1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 s="1">
        <v>2238</v>
      </c>
      <c r="T150" s="3" t="str">
        <f t="shared" si="2"/>
        <v>Below Avg</v>
      </c>
      <c r="U150" s="1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 s="1">
        <v>1483</v>
      </c>
      <c r="T151" s="3" t="str">
        <f t="shared" si="2"/>
        <v>Below Avg</v>
      </c>
      <c r="U151" s="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 s="1">
        <v>5605</v>
      </c>
      <c r="T152" s="3" t="str">
        <f t="shared" si="2"/>
        <v>Below Avg</v>
      </c>
      <c r="U152" s="1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 s="1">
        <v>7295</v>
      </c>
      <c r="T153" s="3" t="str">
        <f t="shared" si="2"/>
        <v>Above Avg</v>
      </c>
      <c r="U153" s="1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 s="1">
        <v>2306</v>
      </c>
      <c r="T154" s="3" t="str">
        <f t="shared" si="2"/>
        <v>Below Avg</v>
      </c>
      <c r="U154" s="1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 s="1">
        <v>2348</v>
      </c>
      <c r="T155" s="3" t="str">
        <f t="shared" si="2"/>
        <v>Below Avg</v>
      </c>
      <c r="U155" s="1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 s="1">
        <v>8998</v>
      </c>
      <c r="T156" s="3" t="str">
        <f t="shared" si="2"/>
        <v>Above Avg</v>
      </c>
      <c r="U156" s="1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 s="1">
        <v>4319</v>
      </c>
      <c r="T157" s="3" t="str">
        <f t="shared" si="2"/>
        <v>Below Avg</v>
      </c>
      <c r="U157" s="1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 s="1">
        <v>6132</v>
      </c>
      <c r="T158" s="3" t="str">
        <f t="shared" si="2"/>
        <v>Below Avg</v>
      </c>
      <c r="U158" s="1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 s="1">
        <v>3346</v>
      </c>
      <c r="T159" s="3" t="str">
        <f t="shared" si="2"/>
        <v>Below Avg</v>
      </c>
      <c r="U159" s="1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 s="1">
        <v>10855</v>
      </c>
      <c r="T160" s="3" t="str">
        <f t="shared" si="2"/>
        <v>Above Avg</v>
      </c>
      <c r="U160" s="1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 s="1">
        <v>2231</v>
      </c>
      <c r="T161" s="3" t="str">
        <f t="shared" si="2"/>
        <v>Below Avg</v>
      </c>
      <c r="U161" s="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 s="1">
        <v>2323</v>
      </c>
      <c r="T162" s="3" t="str">
        <f t="shared" si="2"/>
        <v>Below Avg</v>
      </c>
      <c r="U162" s="1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 s="1">
        <v>2024</v>
      </c>
      <c r="T163" s="3" t="str">
        <f t="shared" si="2"/>
        <v>Below Avg</v>
      </c>
      <c r="U163" s="1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 s="1">
        <v>2713</v>
      </c>
      <c r="T164" s="3" t="str">
        <f t="shared" si="2"/>
        <v>Below Avg</v>
      </c>
      <c r="U164" s="1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 s="1">
        <v>9439</v>
      </c>
      <c r="T165" s="3" t="str">
        <f t="shared" si="2"/>
        <v>Above Avg</v>
      </c>
      <c r="U165" s="1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 s="1">
        <v>2566</v>
      </c>
      <c r="T166" s="3" t="str">
        <f t="shared" si="2"/>
        <v>Below Avg</v>
      </c>
      <c r="U166" s="1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 s="1">
        <v>19926</v>
      </c>
      <c r="T167" s="3" t="str">
        <f t="shared" si="2"/>
        <v>Above Avg</v>
      </c>
      <c r="U167" s="1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 s="1">
        <v>2451</v>
      </c>
      <c r="T168" s="3" t="str">
        <f t="shared" si="2"/>
        <v>Below Avg</v>
      </c>
      <c r="U168" s="1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 s="1">
        <v>9419</v>
      </c>
      <c r="T169" s="3" t="str">
        <f t="shared" si="2"/>
        <v>Above Avg</v>
      </c>
      <c r="U169" s="1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 s="1">
        <v>8686</v>
      </c>
      <c r="T170" s="3" t="str">
        <f t="shared" si="2"/>
        <v>Above Avg</v>
      </c>
      <c r="U170" s="1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 s="1">
        <v>3038</v>
      </c>
      <c r="T171" s="3" t="str">
        <f t="shared" si="2"/>
        <v>Below Avg</v>
      </c>
      <c r="U171" s="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 s="1">
        <v>3058</v>
      </c>
      <c r="T172" s="3" t="str">
        <f t="shared" si="2"/>
        <v>Below Avg</v>
      </c>
      <c r="U172" s="1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 s="1">
        <v>2325</v>
      </c>
      <c r="T173" s="3" t="str">
        <f t="shared" si="2"/>
        <v>Below Avg</v>
      </c>
      <c r="U173" s="1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 s="1">
        <v>2088</v>
      </c>
      <c r="T174" s="3" t="str">
        <f t="shared" si="2"/>
        <v>Below Avg</v>
      </c>
      <c r="U174" s="1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 s="1">
        <v>3072</v>
      </c>
      <c r="T175" s="3" t="str">
        <f t="shared" si="2"/>
        <v>Below Avg</v>
      </c>
      <c r="U175" s="1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 s="1">
        <v>5006</v>
      </c>
      <c r="T176" s="3" t="str">
        <f t="shared" si="2"/>
        <v>Below Avg</v>
      </c>
      <c r="U176" s="1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 s="1">
        <v>4257</v>
      </c>
      <c r="T177" s="3" t="str">
        <f t="shared" si="2"/>
        <v>Below Avg</v>
      </c>
      <c r="U177" s="1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 s="1">
        <v>2500</v>
      </c>
      <c r="T178" s="3" t="str">
        <f t="shared" si="2"/>
        <v>Below Avg</v>
      </c>
      <c r="U178" s="1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 s="1">
        <v>1102</v>
      </c>
      <c r="T179" s="3" t="str">
        <f t="shared" si="2"/>
        <v>Below Avg</v>
      </c>
      <c r="U179" s="1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 s="1">
        <v>10453</v>
      </c>
      <c r="T180" s="3" t="str">
        <f t="shared" si="2"/>
        <v>Above Avg</v>
      </c>
      <c r="U180" s="1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 s="1">
        <v>2288</v>
      </c>
      <c r="T181" s="3" t="str">
        <f t="shared" si="2"/>
        <v>Below Avg</v>
      </c>
      <c r="U181" s="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 s="1">
        <v>3929</v>
      </c>
      <c r="T182" s="3" t="str">
        <f t="shared" si="2"/>
        <v>Below Avg</v>
      </c>
      <c r="U182" s="1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 s="1">
        <v>2311</v>
      </c>
      <c r="T183" s="3" t="str">
        <f t="shared" si="2"/>
        <v>Below Avg</v>
      </c>
      <c r="U183" s="1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 s="1">
        <v>3140</v>
      </c>
      <c r="T184" s="3" t="str">
        <f t="shared" si="2"/>
        <v>Below Avg</v>
      </c>
      <c r="U184" s="1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 s="1">
        <v>3690</v>
      </c>
      <c r="T185" s="3" t="str">
        <f t="shared" si="2"/>
        <v>Below Avg</v>
      </c>
      <c r="U185" s="1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 s="1">
        <v>4450</v>
      </c>
      <c r="T186" s="3" t="str">
        <f t="shared" si="2"/>
        <v>Below Avg</v>
      </c>
      <c r="U186" s="1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 s="1">
        <v>2756</v>
      </c>
      <c r="T187" s="3" t="str">
        <f t="shared" si="2"/>
        <v>Below Avg</v>
      </c>
      <c r="U187" s="1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 s="1">
        <v>19033</v>
      </c>
      <c r="T188" s="3" t="str">
        <f t="shared" si="2"/>
        <v>Above Avg</v>
      </c>
      <c r="U188" s="1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 s="1">
        <v>18722</v>
      </c>
      <c r="T189" s="3" t="str">
        <f t="shared" si="2"/>
        <v>Above Avg</v>
      </c>
      <c r="U189" s="1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 s="1">
        <v>9547</v>
      </c>
      <c r="T190" s="3" t="str">
        <f t="shared" si="2"/>
        <v>Above Avg</v>
      </c>
      <c r="U190" s="1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 s="1">
        <v>13734</v>
      </c>
      <c r="T191" s="3" t="str">
        <f t="shared" si="2"/>
        <v>Above Avg</v>
      </c>
      <c r="U191" s="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 s="1">
        <v>19999</v>
      </c>
      <c r="T192" s="3" t="str">
        <f t="shared" si="2"/>
        <v>Above Avg</v>
      </c>
      <c r="U192" s="1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 s="1">
        <v>2279</v>
      </c>
      <c r="T193" s="3" t="str">
        <f t="shared" si="2"/>
        <v>Below Avg</v>
      </c>
      <c r="U193" s="1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 s="1">
        <v>5916</v>
      </c>
      <c r="T194" s="3" t="str">
        <f t="shared" ref="T194:T257" si="3">IF( S194 &lt; AVERAGE($S$2:$S$1471), "Below Avg", "Above Avg" )</f>
        <v>Below Avg</v>
      </c>
      <c r="U194" s="1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 s="1">
        <v>2089</v>
      </c>
      <c r="T195" s="3" t="str">
        <f t="shared" si="3"/>
        <v>Below Avg</v>
      </c>
      <c r="U195" s="1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 s="1">
        <v>16792</v>
      </c>
      <c r="T196" s="3" t="str">
        <f t="shared" si="3"/>
        <v>Above Avg</v>
      </c>
      <c r="U196" s="1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 s="1">
        <v>3564</v>
      </c>
      <c r="T197" s="3" t="str">
        <f t="shared" si="3"/>
        <v>Below Avg</v>
      </c>
      <c r="U197" s="1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 s="1">
        <v>4425</v>
      </c>
      <c r="T198" s="3" t="str">
        <f t="shared" si="3"/>
        <v>Below Avg</v>
      </c>
      <c r="U198" s="1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 s="1">
        <v>5265</v>
      </c>
      <c r="T199" s="3" t="str">
        <f t="shared" si="3"/>
        <v>Below Avg</v>
      </c>
      <c r="U199" s="1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 s="1">
        <v>6553</v>
      </c>
      <c r="T200" s="3" t="str">
        <f t="shared" si="3"/>
        <v>Above Avg</v>
      </c>
      <c r="U200" s="1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 s="1">
        <v>6261</v>
      </c>
      <c r="T201" s="3" t="str">
        <f t="shared" si="3"/>
        <v>Below Avg</v>
      </c>
      <c r="U201" s="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 s="1">
        <v>4298</v>
      </c>
      <c r="T202" s="3" t="str">
        <f t="shared" si="3"/>
        <v>Below Avg</v>
      </c>
      <c r="U202" s="1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 s="1">
        <v>6804</v>
      </c>
      <c r="T203" s="3" t="str">
        <f t="shared" si="3"/>
        <v>Above Avg</v>
      </c>
      <c r="U203" s="1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 s="1">
        <v>3815</v>
      </c>
      <c r="T204" s="3" t="str">
        <f t="shared" si="3"/>
        <v>Below Avg</v>
      </c>
      <c r="U204" s="1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 s="1">
        <v>2741</v>
      </c>
      <c r="T205" s="3" t="str">
        <f t="shared" si="3"/>
        <v>Below Avg</v>
      </c>
      <c r="U205" s="1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 s="1">
        <v>6673</v>
      </c>
      <c r="T206" s="3" t="str">
        <f t="shared" si="3"/>
        <v>Above Avg</v>
      </c>
      <c r="U206" s="1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 s="1">
        <v>7639</v>
      </c>
      <c r="T207" s="3" t="str">
        <f t="shared" si="3"/>
        <v>Above Avg</v>
      </c>
      <c r="U207" s="1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 s="1">
        <v>2328</v>
      </c>
      <c r="T208" s="3" t="str">
        <f t="shared" si="3"/>
        <v>Below Avg</v>
      </c>
      <c r="U208" s="1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 s="1">
        <v>2153</v>
      </c>
      <c r="T209" s="3" t="str">
        <f t="shared" si="3"/>
        <v>Below Avg</v>
      </c>
      <c r="U209" s="1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 s="1">
        <v>4876</v>
      </c>
      <c r="T210" s="3" t="str">
        <f t="shared" si="3"/>
        <v>Below Avg</v>
      </c>
      <c r="U210" s="1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 s="1">
        <v>9396</v>
      </c>
      <c r="T211" s="3" t="str">
        <f t="shared" si="3"/>
        <v>Above Avg</v>
      </c>
      <c r="U211" s="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 s="1">
        <v>10400</v>
      </c>
      <c r="T212" s="3" t="str">
        <f t="shared" si="3"/>
        <v>Above Avg</v>
      </c>
      <c r="U212" s="1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 s="1">
        <v>8474</v>
      </c>
      <c r="T213" s="3" t="str">
        <f t="shared" si="3"/>
        <v>Above Avg</v>
      </c>
      <c r="U213" s="1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 s="1">
        <v>9981</v>
      </c>
      <c r="T214" s="3" t="str">
        <f t="shared" si="3"/>
        <v>Above Avg</v>
      </c>
      <c r="U214" s="1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 s="1">
        <v>12490</v>
      </c>
      <c r="T215" s="3" t="str">
        <f t="shared" si="3"/>
        <v>Above Avg</v>
      </c>
      <c r="U215" s="1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 s="1">
        <v>2657</v>
      </c>
      <c r="T216" s="3" t="str">
        <f t="shared" si="3"/>
        <v>Below Avg</v>
      </c>
      <c r="U216" s="1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 s="1">
        <v>13591</v>
      </c>
      <c r="T217" s="3" t="str">
        <f t="shared" si="3"/>
        <v>Above Avg</v>
      </c>
      <c r="U217" s="1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 s="1">
        <v>6696</v>
      </c>
      <c r="T218" s="3" t="str">
        <f t="shared" si="3"/>
        <v>Above Avg</v>
      </c>
      <c r="U218" s="1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 s="1">
        <v>2058</v>
      </c>
      <c r="T219" s="3" t="str">
        <f t="shared" si="3"/>
        <v>Below Avg</v>
      </c>
      <c r="U219" s="1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 s="1">
        <v>8865</v>
      </c>
      <c r="T220" s="3" t="str">
        <f t="shared" si="3"/>
        <v>Above Avg</v>
      </c>
      <c r="U220" s="1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 s="1">
        <v>5940</v>
      </c>
      <c r="T221" s="3" t="str">
        <f t="shared" si="3"/>
        <v>Below Avg</v>
      </c>
      <c r="U221" s="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 s="1">
        <v>5914</v>
      </c>
      <c r="T222" s="3" t="str">
        <f t="shared" si="3"/>
        <v>Below Avg</v>
      </c>
      <c r="U222" s="1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 s="1">
        <v>2622</v>
      </c>
      <c r="T223" s="3" t="str">
        <f t="shared" si="3"/>
        <v>Below Avg</v>
      </c>
      <c r="U223" s="1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 s="1">
        <v>12185</v>
      </c>
      <c r="T224" s="3" t="str">
        <f t="shared" si="3"/>
        <v>Above Avg</v>
      </c>
      <c r="U224" s="1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 s="1">
        <v>10609</v>
      </c>
      <c r="T225" s="3" t="str">
        <f t="shared" si="3"/>
        <v>Above Avg</v>
      </c>
      <c r="U225" s="1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 s="1">
        <v>4345</v>
      </c>
      <c r="T226" s="3" t="str">
        <f t="shared" si="3"/>
        <v>Below Avg</v>
      </c>
      <c r="U226" s="1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 s="1">
        <v>2177</v>
      </c>
      <c r="T227" s="3" t="str">
        <f t="shared" si="3"/>
        <v>Below Avg</v>
      </c>
      <c r="U227" s="1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 s="1">
        <v>2793</v>
      </c>
      <c r="T228" s="3" t="str">
        <f t="shared" si="3"/>
        <v>Below Avg</v>
      </c>
      <c r="U228" s="1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 s="1">
        <v>7918</v>
      </c>
      <c r="T229" s="3" t="str">
        <f t="shared" si="3"/>
        <v>Above Avg</v>
      </c>
      <c r="U229" s="1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 s="1">
        <v>8789</v>
      </c>
      <c r="T230" s="3" t="str">
        <f t="shared" si="3"/>
        <v>Above Avg</v>
      </c>
      <c r="U230" s="1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 s="1">
        <v>2389</v>
      </c>
      <c r="T231" s="3" t="str">
        <f t="shared" si="3"/>
        <v>Below Avg</v>
      </c>
      <c r="U231" s="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 s="1">
        <v>3212</v>
      </c>
      <c r="T232" s="3" t="str">
        <f t="shared" si="3"/>
        <v>Below Avg</v>
      </c>
      <c r="U232" s="1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 s="1">
        <v>19232</v>
      </c>
      <c r="T233" s="3" t="str">
        <f t="shared" si="3"/>
        <v>Above Avg</v>
      </c>
      <c r="U233" s="1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 s="1">
        <v>2267</v>
      </c>
      <c r="T234" s="3" t="str">
        <f t="shared" si="3"/>
        <v>Below Avg</v>
      </c>
      <c r="U234" s="1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 s="1">
        <v>19517</v>
      </c>
      <c r="T235" s="3" t="str">
        <f t="shared" si="3"/>
        <v>Above Avg</v>
      </c>
      <c r="U235" s="1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 s="1">
        <v>2436</v>
      </c>
      <c r="T236" s="3" t="str">
        <f t="shared" si="3"/>
        <v>Below Avg</v>
      </c>
      <c r="U236" s="1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 s="1">
        <v>16064</v>
      </c>
      <c r="T237" s="3" t="str">
        <f t="shared" si="3"/>
        <v>Above Avg</v>
      </c>
      <c r="U237" s="1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 s="1">
        <v>2707</v>
      </c>
      <c r="T238" s="3" t="str">
        <f t="shared" si="3"/>
        <v>Below Avg</v>
      </c>
      <c r="U238" s="1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 s="1">
        <v>19068</v>
      </c>
      <c r="T239" s="3" t="str">
        <f t="shared" si="3"/>
        <v>Above Avg</v>
      </c>
      <c r="U239" s="1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 s="1">
        <v>3931</v>
      </c>
      <c r="T240" s="3" t="str">
        <f t="shared" si="3"/>
        <v>Below Avg</v>
      </c>
      <c r="U240" s="1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 s="1">
        <v>3730</v>
      </c>
      <c r="T241" s="3" t="str">
        <f t="shared" si="3"/>
        <v>Below Avg</v>
      </c>
      <c r="U241" s="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 s="1">
        <v>2232</v>
      </c>
      <c r="T242" s="3" t="str">
        <f t="shared" si="3"/>
        <v>Below Avg</v>
      </c>
      <c r="U242" s="1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 s="1">
        <v>4465</v>
      </c>
      <c r="T243" s="3" t="str">
        <f t="shared" si="3"/>
        <v>Below Avg</v>
      </c>
      <c r="U243" s="1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 s="1">
        <v>3072</v>
      </c>
      <c r="T244" s="3" t="str">
        <f t="shared" si="3"/>
        <v>Below Avg</v>
      </c>
      <c r="U244" s="1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 s="1">
        <v>3319</v>
      </c>
      <c r="T245" s="3" t="str">
        <f t="shared" si="3"/>
        <v>Below Avg</v>
      </c>
      <c r="U245" s="1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 s="1">
        <v>19202</v>
      </c>
      <c r="T246" s="3" t="str">
        <f t="shared" si="3"/>
        <v>Above Avg</v>
      </c>
      <c r="U246" s="1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 s="1">
        <v>13675</v>
      </c>
      <c r="T247" s="3" t="str">
        <f t="shared" si="3"/>
        <v>Above Avg</v>
      </c>
      <c r="U247" s="1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 s="1">
        <v>2911</v>
      </c>
      <c r="T248" s="3" t="str">
        <f t="shared" si="3"/>
        <v>Below Avg</v>
      </c>
      <c r="U248" s="1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 s="1">
        <v>5957</v>
      </c>
      <c r="T249" s="3" t="str">
        <f t="shared" si="3"/>
        <v>Below Avg</v>
      </c>
      <c r="U249" s="1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 s="1">
        <v>3920</v>
      </c>
      <c r="T250" s="3" t="str">
        <f t="shared" si="3"/>
        <v>Below Avg</v>
      </c>
      <c r="U250" s="1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 s="1">
        <v>6434</v>
      </c>
      <c r="T251" s="3" t="str">
        <f t="shared" si="3"/>
        <v>Below Avg</v>
      </c>
      <c r="U251" s="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 s="1">
        <v>10048</v>
      </c>
      <c r="T252" s="3" t="str">
        <f t="shared" si="3"/>
        <v>Above Avg</v>
      </c>
      <c r="U252" s="1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 s="1">
        <v>10938</v>
      </c>
      <c r="T253" s="3" t="str">
        <f t="shared" si="3"/>
        <v>Above Avg</v>
      </c>
      <c r="U253" s="1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 s="1">
        <v>2340</v>
      </c>
      <c r="T254" s="3" t="str">
        <f t="shared" si="3"/>
        <v>Below Avg</v>
      </c>
      <c r="U254" s="1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 s="1">
        <v>6545</v>
      </c>
      <c r="T255" s="3" t="str">
        <f t="shared" si="3"/>
        <v>Above Avg</v>
      </c>
      <c r="U255" s="1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 s="1">
        <v>6931</v>
      </c>
      <c r="T256" s="3" t="str">
        <f t="shared" si="3"/>
        <v>Above Avg</v>
      </c>
      <c r="U256" s="1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 s="1">
        <v>4898</v>
      </c>
      <c r="T257" s="3" t="str">
        <f t="shared" si="3"/>
        <v>Below Avg</v>
      </c>
      <c r="U257" s="1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 s="1">
        <v>2593</v>
      </c>
      <c r="T258" s="3" t="str">
        <f t="shared" ref="T258:T321" si="4">IF( S258 &lt; AVERAGE($S$2:$S$1471), "Below Avg", "Above Avg" )</f>
        <v>Below Avg</v>
      </c>
      <c r="U258" s="1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 s="1">
        <v>19436</v>
      </c>
      <c r="T259" s="3" t="str">
        <f t="shared" si="4"/>
        <v>Above Avg</v>
      </c>
      <c r="U259" s="1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 s="1">
        <v>2723</v>
      </c>
      <c r="T260" s="3" t="str">
        <f t="shared" si="4"/>
        <v>Below Avg</v>
      </c>
      <c r="U260" s="1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 s="1">
        <v>3479</v>
      </c>
      <c r="T261" s="3" t="str">
        <f t="shared" si="4"/>
        <v>Below Avg</v>
      </c>
      <c r="U261" s="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 s="1">
        <v>2794</v>
      </c>
      <c r="T262" s="3" t="str">
        <f t="shared" si="4"/>
        <v>Below Avg</v>
      </c>
      <c r="U262" s="1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 s="1">
        <v>5249</v>
      </c>
      <c r="T263" s="3" t="str">
        <f t="shared" si="4"/>
        <v>Below Avg</v>
      </c>
      <c r="U263" s="1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 s="1">
        <v>2176</v>
      </c>
      <c r="T264" s="3" t="str">
        <f t="shared" si="4"/>
        <v>Below Avg</v>
      </c>
      <c r="U264" s="1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 s="1">
        <v>16872</v>
      </c>
      <c r="T265" s="3" t="str">
        <f t="shared" si="4"/>
        <v>Above Avg</v>
      </c>
      <c r="U265" s="1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 s="1">
        <v>3485</v>
      </c>
      <c r="T266" s="3" t="str">
        <f t="shared" si="4"/>
        <v>Below Avg</v>
      </c>
      <c r="U266" s="1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 s="1">
        <v>6644</v>
      </c>
      <c r="T267" s="3" t="str">
        <f t="shared" si="4"/>
        <v>Above Avg</v>
      </c>
      <c r="U267" s="1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 s="1">
        <v>5582</v>
      </c>
      <c r="T268" s="3" t="str">
        <f t="shared" si="4"/>
        <v>Below Avg</v>
      </c>
      <c r="U268" s="1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 s="1">
        <v>4000</v>
      </c>
      <c r="T269" s="3" t="str">
        <f t="shared" si="4"/>
        <v>Below Avg</v>
      </c>
      <c r="U269" s="1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 s="1">
        <v>13496</v>
      </c>
      <c r="T270" s="3" t="str">
        <f t="shared" si="4"/>
        <v>Above Avg</v>
      </c>
      <c r="U270" s="1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 s="1">
        <v>3210</v>
      </c>
      <c r="T271" s="3" t="str">
        <f t="shared" si="4"/>
        <v>Below Avg</v>
      </c>
      <c r="U271" s="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 s="1">
        <v>19045</v>
      </c>
      <c r="T272" s="3" t="str">
        <f t="shared" si="4"/>
        <v>Above Avg</v>
      </c>
      <c r="U272" s="1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 s="1">
        <v>11849</v>
      </c>
      <c r="T273" s="3" t="str">
        <f t="shared" si="4"/>
        <v>Above Avg</v>
      </c>
      <c r="U273" s="1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 s="1">
        <v>2070</v>
      </c>
      <c r="T274" s="3" t="str">
        <f t="shared" si="4"/>
        <v>Below Avg</v>
      </c>
      <c r="U274" s="1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 s="1">
        <v>6502</v>
      </c>
      <c r="T275" s="3" t="str">
        <f t="shared" si="4"/>
        <v>Below Avg</v>
      </c>
      <c r="U275" s="1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 s="1">
        <v>3230</v>
      </c>
      <c r="T276" s="3" t="str">
        <f t="shared" si="4"/>
        <v>Below Avg</v>
      </c>
      <c r="U276" s="1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 s="1">
        <v>13603</v>
      </c>
      <c r="T277" s="3" t="str">
        <f t="shared" si="4"/>
        <v>Above Avg</v>
      </c>
      <c r="U277" s="1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 s="1">
        <v>11996</v>
      </c>
      <c r="T278" s="3" t="str">
        <f t="shared" si="4"/>
        <v>Above Avg</v>
      </c>
      <c r="U278" s="1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 s="1">
        <v>5605</v>
      </c>
      <c r="T279" s="3" t="str">
        <f t="shared" si="4"/>
        <v>Below Avg</v>
      </c>
      <c r="U279" s="1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 s="1">
        <v>6397</v>
      </c>
      <c r="T280" s="3" t="str">
        <f t="shared" si="4"/>
        <v>Below Avg</v>
      </c>
      <c r="U280" s="1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 s="1">
        <v>19144</v>
      </c>
      <c r="T281" s="3" t="str">
        <f t="shared" si="4"/>
        <v>Above Avg</v>
      </c>
      <c r="U281" s="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 s="1">
        <v>17584</v>
      </c>
      <c r="T282" s="3" t="str">
        <f t="shared" si="4"/>
        <v>Above Avg</v>
      </c>
      <c r="U282" s="1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 s="1">
        <v>4907</v>
      </c>
      <c r="T283" s="3" t="str">
        <f t="shared" si="4"/>
        <v>Below Avg</v>
      </c>
      <c r="U283" s="1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 s="1">
        <v>4554</v>
      </c>
      <c r="T284" s="3" t="str">
        <f t="shared" si="4"/>
        <v>Below Avg</v>
      </c>
      <c r="U284" s="1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 s="1">
        <v>5415</v>
      </c>
      <c r="T285" s="3" t="str">
        <f t="shared" si="4"/>
        <v>Below Avg</v>
      </c>
      <c r="U285" s="1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 s="1">
        <v>4741</v>
      </c>
      <c r="T286" s="3" t="str">
        <f t="shared" si="4"/>
        <v>Below Avg</v>
      </c>
      <c r="U286" s="1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 s="1">
        <v>2115</v>
      </c>
      <c r="T287" s="3" t="str">
        <f t="shared" si="4"/>
        <v>Below Avg</v>
      </c>
      <c r="U287" s="1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 s="1">
        <v>3161</v>
      </c>
      <c r="T288" s="3" t="str">
        <f t="shared" si="4"/>
        <v>Below Avg</v>
      </c>
      <c r="U288" s="1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 s="1">
        <v>5745</v>
      </c>
      <c r="T289" s="3" t="str">
        <f t="shared" si="4"/>
        <v>Below Avg</v>
      </c>
      <c r="U289" s="1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 s="1">
        <v>2373</v>
      </c>
      <c r="T290" s="3" t="str">
        <f t="shared" si="4"/>
        <v>Below Avg</v>
      </c>
      <c r="U290" s="1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 s="1">
        <v>3310</v>
      </c>
      <c r="T291" s="3" t="str">
        <f t="shared" si="4"/>
        <v>Below Avg</v>
      </c>
      <c r="U291" s="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 s="1">
        <v>18665</v>
      </c>
      <c r="T292" s="3" t="str">
        <f t="shared" si="4"/>
        <v>Above Avg</v>
      </c>
      <c r="U292" s="1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 s="1">
        <v>4485</v>
      </c>
      <c r="T293" s="3" t="str">
        <f t="shared" si="4"/>
        <v>Below Avg</v>
      </c>
      <c r="U293" s="1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 s="1">
        <v>2789</v>
      </c>
      <c r="T294" s="3" t="str">
        <f t="shared" si="4"/>
        <v>Below Avg</v>
      </c>
      <c r="U294" s="1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 s="1">
        <v>5828</v>
      </c>
      <c r="T295" s="3" t="str">
        <f t="shared" si="4"/>
        <v>Below Avg</v>
      </c>
      <c r="U295" s="1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 s="1">
        <v>2326</v>
      </c>
      <c r="T296" s="3" t="str">
        <f t="shared" si="4"/>
        <v>Below Avg</v>
      </c>
      <c r="U296" s="1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 s="1">
        <v>13525</v>
      </c>
      <c r="T297" s="3" t="str">
        <f t="shared" si="4"/>
        <v>Above Avg</v>
      </c>
      <c r="U297" s="1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 s="1">
        <v>1420</v>
      </c>
      <c r="T298" s="3" t="str">
        <f t="shared" si="4"/>
        <v>Below Avg</v>
      </c>
      <c r="U298" s="1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 s="1">
        <v>8020</v>
      </c>
      <c r="T299" s="3" t="str">
        <f t="shared" si="4"/>
        <v>Above Avg</v>
      </c>
      <c r="U299" s="1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 s="1">
        <v>3688</v>
      </c>
      <c r="T300" s="3" t="str">
        <f t="shared" si="4"/>
        <v>Below Avg</v>
      </c>
      <c r="U300" s="1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 s="1">
        <v>5482</v>
      </c>
      <c r="T301" s="3" t="str">
        <f t="shared" si="4"/>
        <v>Below Avg</v>
      </c>
      <c r="U301" s="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 s="1">
        <v>16015</v>
      </c>
      <c r="T302" s="3" t="str">
        <f t="shared" si="4"/>
        <v>Above Avg</v>
      </c>
      <c r="U302" s="1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 s="1">
        <v>1200</v>
      </c>
      <c r="T303" s="3" t="str">
        <f t="shared" si="4"/>
        <v>Below Avg</v>
      </c>
      <c r="U303" s="1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 s="1">
        <v>5661</v>
      </c>
      <c r="T304" s="3" t="str">
        <f t="shared" si="4"/>
        <v>Below Avg</v>
      </c>
      <c r="U304" s="1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 s="1">
        <v>6929</v>
      </c>
      <c r="T305" s="3" t="str">
        <f t="shared" si="4"/>
        <v>Above Avg</v>
      </c>
      <c r="U305" s="1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 s="1">
        <v>9613</v>
      </c>
      <c r="T306" s="3" t="str">
        <f t="shared" si="4"/>
        <v>Above Avg</v>
      </c>
      <c r="U306" s="1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 s="1">
        <v>5674</v>
      </c>
      <c r="T307" s="3" t="str">
        <f t="shared" si="4"/>
        <v>Below Avg</v>
      </c>
      <c r="U307" s="1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 s="1">
        <v>5484</v>
      </c>
      <c r="T308" s="3" t="str">
        <f t="shared" si="4"/>
        <v>Below Avg</v>
      </c>
      <c r="U308" s="1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 s="1">
        <v>12061</v>
      </c>
      <c r="T309" s="3" t="str">
        <f t="shared" si="4"/>
        <v>Above Avg</v>
      </c>
      <c r="U309" s="1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 s="1">
        <v>5660</v>
      </c>
      <c r="T310" s="3" t="str">
        <f t="shared" si="4"/>
        <v>Below Avg</v>
      </c>
      <c r="U310" s="1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 s="1">
        <v>4821</v>
      </c>
      <c r="T311" s="3" t="str">
        <f t="shared" si="4"/>
        <v>Below Avg</v>
      </c>
      <c r="U311" s="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 s="1">
        <v>6410</v>
      </c>
      <c r="T312" s="3" t="str">
        <f t="shared" si="4"/>
        <v>Below Avg</v>
      </c>
      <c r="U312" s="1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 s="1">
        <v>5210</v>
      </c>
      <c r="T313" s="3" t="str">
        <f t="shared" si="4"/>
        <v>Below Avg</v>
      </c>
      <c r="U313" s="1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 s="1">
        <v>2695</v>
      </c>
      <c r="T314" s="3" t="str">
        <f t="shared" si="4"/>
        <v>Below Avg</v>
      </c>
      <c r="U314" s="1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 s="1">
        <v>11878</v>
      </c>
      <c r="T315" s="3" t="str">
        <f t="shared" si="4"/>
        <v>Above Avg</v>
      </c>
      <c r="U315" s="1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 s="1">
        <v>17068</v>
      </c>
      <c r="T316" s="3" t="str">
        <f t="shared" si="4"/>
        <v>Above Avg</v>
      </c>
      <c r="U316" s="1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 s="1">
        <v>2455</v>
      </c>
      <c r="T317" s="3" t="str">
        <f t="shared" si="4"/>
        <v>Below Avg</v>
      </c>
      <c r="U317" s="1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 s="1">
        <v>13964</v>
      </c>
      <c r="T318" s="3" t="str">
        <f t="shared" si="4"/>
        <v>Above Avg</v>
      </c>
      <c r="U318" s="1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 s="1">
        <v>4941</v>
      </c>
      <c r="T319" s="3" t="str">
        <f t="shared" si="4"/>
        <v>Below Avg</v>
      </c>
      <c r="U319" s="1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 s="1">
        <v>2478</v>
      </c>
      <c r="T320" s="3" t="str">
        <f t="shared" si="4"/>
        <v>Below Avg</v>
      </c>
      <c r="U320" s="1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 s="1">
        <v>5228</v>
      </c>
      <c r="T321" s="3" t="str">
        <f t="shared" si="4"/>
        <v>Below Avg</v>
      </c>
      <c r="U321" s="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 s="1">
        <v>4478</v>
      </c>
      <c r="T322" s="3" t="str">
        <f t="shared" ref="T322:T385" si="5">IF( S322 &lt; AVERAGE($S$2:$S$1471), "Below Avg", "Above Avg" )</f>
        <v>Below Avg</v>
      </c>
      <c r="U322" s="1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 s="1">
        <v>7547</v>
      </c>
      <c r="T323" s="3" t="str">
        <f t="shared" si="5"/>
        <v>Above Avg</v>
      </c>
      <c r="U323" s="1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 s="1">
        <v>5055</v>
      </c>
      <c r="T324" s="3" t="str">
        <f t="shared" si="5"/>
        <v>Below Avg</v>
      </c>
      <c r="U324" s="1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 s="1">
        <v>3464</v>
      </c>
      <c r="T325" s="3" t="str">
        <f t="shared" si="5"/>
        <v>Below Avg</v>
      </c>
      <c r="U325" s="1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 s="1">
        <v>5775</v>
      </c>
      <c r="T326" s="3" t="str">
        <f t="shared" si="5"/>
        <v>Below Avg</v>
      </c>
      <c r="U326" s="1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 s="1">
        <v>8943</v>
      </c>
      <c r="T327" s="3" t="str">
        <f t="shared" si="5"/>
        <v>Above Avg</v>
      </c>
      <c r="U327" s="1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 s="1">
        <v>19272</v>
      </c>
      <c r="T328" s="3" t="str">
        <f t="shared" si="5"/>
        <v>Above Avg</v>
      </c>
      <c r="U328" s="1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 s="1">
        <v>5238</v>
      </c>
      <c r="T329" s="3" t="str">
        <f t="shared" si="5"/>
        <v>Below Avg</v>
      </c>
      <c r="U329" s="1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 s="1">
        <v>4682</v>
      </c>
      <c r="T330" s="3" t="str">
        <f t="shared" si="5"/>
        <v>Below Avg</v>
      </c>
      <c r="U330" s="1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 s="1">
        <v>18300</v>
      </c>
      <c r="T331" s="3" t="str">
        <f t="shared" si="5"/>
        <v>Above Avg</v>
      </c>
      <c r="U331" s="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 s="1">
        <v>5257</v>
      </c>
      <c r="T332" s="3" t="str">
        <f t="shared" si="5"/>
        <v>Below Avg</v>
      </c>
      <c r="U332" s="1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 s="1">
        <v>6349</v>
      </c>
      <c r="T333" s="3" t="str">
        <f t="shared" si="5"/>
        <v>Below Avg</v>
      </c>
      <c r="U333" s="1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 s="1">
        <v>4869</v>
      </c>
      <c r="T334" s="3" t="str">
        <f t="shared" si="5"/>
        <v>Below Avg</v>
      </c>
      <c r="U334" s="1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 s="1">
        <v>9985</v>
      </c>
      <c r="T335" s="3" t="str">
        <f t="shared" si="5"/>
        <v>Above Avg</v>
      </c>
      <c r="U335" s="1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 s="1">
        <v>3697</v>
      </c>
      <c r="T336" s="3" t="str">
        <f t="shared" si="5"/>
        <v>Below Avg</v>
      </c>
      <c r="U336" s="1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 s="1">
        <v>7457</v>
      </c>
      <c r="T337" s="3" t="str">
        <f t="shared" si="5"/>
        <v>Above Avg</v>
      </c>
      <c r="U337" s="1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 s="1">
        <v>2119</v>
      </c>
      <c r="T338" s="3" t="str">
        <f t="shared" si="5"/>
        <v>Below Avg</v>
      </c>
      <c r="U338" s="1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 s="1">
        <v>3983</v>
      </c>
      <c r="T339" s="3" t="str">
        <f t="shared" si="5"/>
        <v>Below Avg</v>
      </c>
      <c r="U339" s="1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 s="1">
        <v>6118</v>
      </c>
      <c r="T340" s="3" t="str">
        <f t="shared" si="5"/>
        <v>Below Avg</v>
      </c>
      <c r="U340" s="1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 s="1">
        <v>6214</v>
      </c>
      <c r="T341" s="3" t="str">
        <f t="shared" si="5"/>
        <v>Below Avg</v>
      </c>
      <c r="U341" s="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 s="1">
        <v>6347</v>
      </c>
      <c r="T342" s="3" t="str">
        <f t="shared" si="5"/>
        <v>Below Avg</v>
      </c>
      <c r="U342" s="1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 s="1">
        <v>11510</v>
      </c>
      <c r="T343" s="3" t="str">
        <f t="shared" si="5"/>
        <v>Above Avg</v>
      </c>
      <c r="U343" s="1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 s="1">
        <v>7143</v>
      </c>
      <c r="T344" s="3" t="str">
        <f t="shared" si="5"/>
        <v>Above Avg</v>
      </c>
      <c r="U344" s="1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 s="1">
        <v>8268</v>
      </c>
      <c r="T345" s="3" t="str">
        <f t="shared" si="5"/>
        <v>Above Avg</v>
      </c>
      <c r="U345" s="1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 s="1">
        <v>8095</v>
      </c>
      <c r="T346" s="3" t="str">
        <f t="shared" si="5"/>
        <v>Above Avg</v>
      </c>
      <c r="U346" s="1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 s="1">
        <v>2904</v>
      </c>
      <c r="T347" s="3" t="str">
        <f t="shared" si="5"/>
        <v>Below Avg</v>
      </c>
      <c r="U347" s="1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 s="1">
        <v>6032</v>
      </c>
      <c r="T348" s="3" t="str">
        <f t="shared" si="5"/>
        <v>Below Avg</v>
      </c>
      <c r="U348" s="1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 s="1">
        <v>2976</v>
      </c>
      <c r="T349" s="3" t="str">
        <f t="shared" si="5"/>
        <v>Below Avg</v>
      </c>
      <c r="U349" s="1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 s="1">
        <v>15992</v>
      </c>
      <c r="T350" s="3" t="str">
        <f t="shared" si="5"/>
        <v>Above Avg</v>
      </c>
      <c r="U350" s="1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 s="1">
        <v>4649</v>
      </c>
      <c r="T351" s="3" t="str">
        <f t="shared" si="5"/>
        <v>Below Avg</v>
      </c>
      <c r="U351" s="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 s="1">
        <v>2696</v>
      </c>
      <c r="T352" s="3" t="str">
        <f t="shared" si="5"/>
        <v>Below Avg</v>
      </c>
      <c r="U352" s="1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 s="1">
        <v>2370</v>
      </c>
      <c r="T353" s="3" t="str">
        <f t="shared" si="5"/>
        <v>Below Avg</v>
      </c>
      <c r="U353" s="1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 s="1">
        <v>12504</v>
      </c>
      <c r="T354" s="3" t="str">
        <f t="shared" si="5"/>
        <v>Above Avg</v>
      </c>
      <c r="U354" s="1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 s="1">
        <v>5974</v>
      </c>
      <c r="T355" s="3" t="str">
        <f t="shared" si="5"/>
        <v>Below Avg</v>
      </c>
      <c r="U355" s="1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 s="1">
        <v>4736</v>
      </c>
      <c r="T356" s="3" t="str">
        <f t="shared" si="5"/>
        <v>Below Avg</v>
      </c>
      <c r="U356" s="1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 s="1">
        <v>5296</v>
      </c>
      <c r="T357" s="3" t="str">
        <f t="shared" si="5"/>
        <v>Below Avg</v>
      </c>
      <c r="U357" s="1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 s="1">
        <v>6781</v>
      </c>
      <c r="T358" s="3" t="str">
        <f t="shared" si="5"/>
        <v>Above Avg</v>
      </c>
      <c r="U358" s="1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 s="1">
        <v>2174</v>
      </c>
      <c r="T359" s="3" t="str">
        <f t="shared" si="5"/>
        <v>Below Avg</v>
      </c>
      <c r="U359" s="1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 s="1">
        <v>6653</v>
      </c>
      <c r="T360" s="3" t="str">
        <f t="shared" si="5"/>
        <v>Above Avg</v>
      </c>
      <c r="U360" s="1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 s="1">
        <v>9699</v>
      </c>
      <c r="T361" s="3" t="str">
        <f t="shared" si="5"/>
        <v>Above Avg</v>
      </c>
      <c r="U361" s="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 s="1">
        <v>6755</v>
      </c>
      <c r="T362" s="3" t="str">
        <f t="shared" si="5"/>
        <v>Above Avg</v>
      </c>
      <c r="U362" s="1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 s="1">
        <v>2213</v>
      </c>
      <c r="T363" s="3" t="str">
        <f t="shared" si="5"/>
        <v>Below Avg</v>
      </c>
      <c r="U363" s="1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 s="1">
        <v>2610</v>
      </c>
      <c r="T364" s="3" t="str">
        <f t="shared" si="5"/>
        <v>Below Avg</v>
      </c>
      <c r="U364" s="1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 s="1">
        <v>2851</v>
      </c>
      <c r="T365" s="3" t="str">
        <f t="shared" si="5"/>
        <v>Below Avg</v>
      </c>
      <c r="U365" s="1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 s="1">
        <v>3452</v>
      </c>
      <c r="T366" s="3" t="str">
        <f t="shared" si="5"/>
        <v>Below Avg</v>
      </c>
      <c r="U366" s="1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 s="1">
        <v>5258</v>
      </c>
      <c r="T367" s="3" t="str">
        <f t="shared" si="5"/>
        <v>Below Avg</v>
      </c>
      <c r="U367" s="1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 s="1">
        <v>9355</v>
      </c>
      <c r="T368" s="3" t="str">
        <f t="shared" si="5"/>
        <v>Above Avg</v>
      </c>
      <c r="U368" s="1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 s="1">
        <v>10496</v>
      </c>
      <c r="T369" s="3" t="str">
        <f t="shared" si="5"/>
        <v>Above Avg</v>
      </c>
      <c r="U369" s="1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 s="1">
        <v>6380</v>
      </c>
      <c r="T370" s="3" t="str">
        <f t="shared" si="5"/>
        <v>Below Avg</v>
      </c>
      <c r="U370" s="1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 s="1">
        <v>2657</v>
      </c>
      <c r="T371" s="3" t="str">
        <f t="shared" si="5"/>
        <v>Below Avg</v>
      </c>
      <c r="U371" s="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 s="1">
        <v>2716</v>
      </c>
      <c r="T372" s="3" t="str">
        <f t="shared" si="5"/>
        <v>Below Avg</v>
      </c>
      <c r="U372" s="1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 s="1">
        <v>2201</v>
      </c>
      <c r="T373" s="3" t="str">
        <f t="shared" si="5"/>
        <v>Below Avg</v>
      </c>
      <c r="U373" s="1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 s="1">
        <v>6540</v>
      </c>
      <c r="T374" s="3" t="str">
        <f t="shared" si="5"/>
        <v>Above Avg</v>
      </c>
      <c r="U374" s="1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 s="1">
        <v>3816</v>
      </c>
      <c r="T375" s="3" t="str">
        <f t="shared" si="5"/>
        <v>Below Avg</v>
      </c>
      <c r="U375" s="1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 s="1">
        <v>5253</v>
      </c>
      <c r="T376" s="3" t="str">
        <f t="shared" si="5"/>
        <v>Below Avg</v>
      </c>
      <c r="U376" s="1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 s="1">
        <v>10965</v>
      </c>
      <c r="T377" s="3" t="str">
        <f t="shared" si="5"/>
        <v>Above Avg</v>
      </c>
      <c r="U377" s="1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 s="1">
        <v>4936</v>
      </c>
      <c r="T378" s="3" t="str">
        <f t="shared" si="5"/>
        <v>Below Avg</v>
      </c>
      <c r="U378" s="1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s="1">
        <v>2543</v>
      </c>
      <c r="T379" s="3" t="str">
        <f t="shared" si="5"/>
        <v>Below Avg</v>
      </c>
      <c r="U379" s="1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 s="1">
        <v>5304</v>
      </c>
      <c r="T380" s="3" t="str">
        <f t="shared" si="5"/>
        <v>Below Avg</v>
      </c>
      <c r="U380" s="1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 s="1">
        <v>16659</v>
      </c>
      <c r="T381" s="3" t="str">
        <f t="shared" si="5"/>
        <v>Above Avg</v>
      </c>
      <c r="U381" s="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 s="1">
        <v>4260</v>
      </c>
      <c r="T382" s="3" t="str">
        <f t="shared" si="5"/>
        <v>Below Avg</v>
      </c>
      <c r="U382" s="1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 s="1">
        <v>2476</v>
      </c>
      <c r="T383" s="3" t="str">
        <f t="shared" si="5"/>
        <v>Below Avg</v>
      </c>
      <c r="U383" s="1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 s="1">
        <v>3102</v>
      </c>
      <c r="T384" s="3" t="str">
        <f t="shared" si="5"/>
        <v>Below Avg</v>
      </c>
      <c r="U384" s="1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 s="1">
        <v>2244</v>
      </c>
      <c r="T385" s="3" t="str">
        <f t="shared" si="5"/>
        <v>Below Avg</v>
      </c>
      <c r="U385" s="1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 s="1">
        <v>7596</v>
      </c>
      <c r="T386" s="3" t="str">
        <f t="shared" ref="T386:T449" si="6">IF( S386 &lt; AVERAGE($S$2:$S$1471), "Below Avg", "Above Avg" )</f>
        <v>Above Avg</v>
      </c>
      <c r="U386" s="1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 s="1">
        <v>2285</v>
      </c>
      <c r="T387" s="3" t="str">
        <f t="shared" si="6"/>
        <v>Below Avg</v>
      </c>
      <c r="U387" s="1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 s="1">
        <v>3034</v>
      </c>
      <c r="T388" s="3" t="str">
        <f t="shared" si="6"/>
        <v>Below Avg</v>
      </c>
      <c r="U388" s="1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 s="1">
        <v>5715</v>
      </c>
      <c r="T389" s="3" t="str">
        <f t="shared" si="6"/>
        <v>Below Avg</v>
      </c>
      <c r="U389" s="1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 s="1">
        <v>2576</v>
      </c>
      <c r="T390" s="3" t="str">
        <f t="shared" si="6"/>
        <v>Below Avg</v>
      </c>
      <c r="U390" s="1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 s="1">
        <v>4197</v>
      </c>
      <c r="T391" s="3" t="str">
        <f t="shared" si="6"/>
        <v>Below Avg</v>
      </c>
      <c r="U391" s="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 s="1">
        <v>14336</v>
      </c>
      <c r="T392" s="3" t="str">
        <f t="shared" si="6"/>
        <v>Above Avg</v>
      </c>
      <c r="U392" s="1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 s="1">
        <v>3448</v>
      </c>
      <c r="T393" s="3" t="str">
        <f t="shared" si="6"/>
        <v>Below Avg</v>
      </c>
      <c r="U393" s="1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 s="1">
        <v>19406</v>
      </c>
      <c r="T394" s="3" t="str">
        <f t="shared" si="6"/>
        <v>Above Avg</v>
      </c>
      <c r="U394" s="1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 s="1">
        <v>6538</v>
      </c>
      <c r="T395" s="3" t="str">
        <f t="shared" si="6"/>
        <v>Above Avg</v>
      </c>
      <c r="U395" s="1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 s="1">
        <v>4306</v>
      </c>
      <c r="T396" s="3" t="str">
        <f t="shared" si="6"/>
        <v>Below Avg</v>
      </c>
      <c r="U396" s="1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 s="1">
        <v>2258</v>
      </c>
      <c r="T397" s="3" t="str">
        <f t="shared" si="6"/>
        <v>Below Avg</v>
      </c>
      <c r="U397" s="1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 s="1">
        <v>4522</v>
      </c>
      <c r="T398" s="3" t="str">
        <f t="shared" si="6"/>
        <v>Below Avg</v>
      </c>
      <c r="U398" s="1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 s="1">
        <v>4487</v>
      </c>
      <c r="T399" s="3" t="str">
        <f t="shared" si="6"/>
        <v>Below Avg</v>
      </c>
      <c r="U399" s="1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 s="1">
        <v>4449</v>
      </c>
      <c r="T400" s="3" t="str">
        <f t="shared" si="6"/>
        <v>Below Avg</v>
      </c>
      <c r="U400" s="1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 s="1">
        <v>2218</v>
      </c>
      <c r="T401" s="3" t="str">
        <f t="shared" si="6"/>
        <v>Below Avg</v>
      </c>
      <c r="U401" s="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 s="1">
        <v>19197</v>
      </c>
      <c r="T402" s="3" t="str">
        <f t="shared" si="6"/>
        <v>Above Avg</v>
      </c>
      <c r="U402" s="1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 s="1">
        <v>13212</v>
      </c>
      <c r="T403" s="3" t="str">
        <f t="shared" si="6"/>
        <v>Above Avg</v>
      </c>
      <c r="U403" s="1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 s="1">
        <v>6577</v>
      </c>
      <c r="T404" s="3" t="str">
        <f t="shared" si="6"/>
        <v>Above Avg</v>
      </c>
      <c r="U404" s="1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 s="1">
        <v>8392</v>
      </c>
      <c r="T405" s="3" t="str">
        <f t="shared" si="6"/>
        <v>Above Avg</v>
      </c>
      <c r="U405" s="1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 s="1">
        <v>4558</v>
      </c>
      <c r="T406" s="3" t="str">
        <f t="shared" si="6"/>
        <v>Below Avg</v>
      </c>
      <c r="U406" s="1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 s="1">
        <v>4031</v>
      </c>
      <c r="T407" s="3" t="str">
        <f t="shared" si="6"/>
        <v>Below Avg</v>
      </c>
      <c r="U407" s="1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 s="1">
        <v>7969</v>
      </c>
      <c r="T408" s="3" t="str">
        <f t="shared" si="6"/>
        <v>Above Avg</v>
      </c>
      <c r="U408" s="1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 s="1">
        <v>2654</v>
      </c>
      <c r="T409" s="3" t="str">
        <f t="shared" si="6"/>
        <v>Below Avg</v>
      </c>
      <c r="U409" s="1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 s="1">
        <v>16555</v>
      </c>
      <c r="T410" s="3" t="str">
        <f t="shared" si="6"/>
        <v>Above Avg</v>
      </c>
      <c r="U410" s="1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 s="1">
        <v>4556</v>
      </c>
      <c r="T411" s="3" t="str">
        <f t="shared" si="6"/>
        <v>Below Avg</v>
      </c>
      <c r="U411" s="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 s="1">
        <v>6091</v>
      </c>
      <c r="T412" s="3" t="str">
        <f t="shared" si="6"/>
        <v>Below Avg</v>
      </c>
      <c r="U412" s="1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 s="1">
        <v>19566</v>
      </c>
      <c r="T413" s="3" t="str">
        <f t="shared" si="6"/>
        <v>Above Avg</v>
      </c>
      <c r="U413" s="1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 s="1">
        <v>4810</v>
      </c>
      <c r="T414" s="3" t="str">
        <f t="shared" si="6"/>
        <v>Below Avg</v>
      </c>
      <c r="U414" s="1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 s="1">
        <v>4523</v>
      </c>
      <c r="T415" s="3" t="str">
        <f t="shared" si="6"/>
        <v>Below Avg</v>
      </c>
      <c r="U415" s="1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 s="1">
        <v>3202</v>
      </c>
      <c r="T416" s="3" t="str">
        <f t="shared" si="6"/>
        <v>Below Avg</v>
      </c>
      <c r="U416" s="1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 s="1">
        <v>2351</v>
      </c>
      <c r="T417" s="3" t="str">
        <f t="shared" si="6"/>
        <v>Below Avg</v>
      </c>
      <c r="U417" s="1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 s="1">
        <v>1702</v>
      </c>
      <c r="T418" s="3" t="str">
        <f t="shared" si="6"/>
        <v>Below Avg</v>
      </c>
      <c r="U418" s="1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 s="1">
        <v>18041</v>
      </c>
      <c r="T419" s="3" t="str">
        <f t="shared" si="6"/>
        <v>Above Avg</v>
      </c>
      <c r="U419" s="1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 s="1">
        <v>2886</v>
      </c>
      <c r="T420" s="3" t="str">
        <f t="shared" si="6"/>
        <v>Below Avg</v>
      </c>
      <c r="U420" s="1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 s="1">
        <v>2097</v>
      </c>
      <c r="T421" s="3" t="str">
        <f t="shared" si="6"/>
        <v>Below Avg</v>
      </c>
      <c r="U421" s="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 s="1">
        <v>11935</v>
      </c>
      <c r="T422" s="3" t="str">
        <f t="shared" si="6"/>
        <v>Above Avg</v>
      </c>
      <c r="U422" s="1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 s="1">
        <v>2546</v>
      </c>
      <c r="T423" s="3" t="str">
        <f t="shared" si="6"/>
        <v>Below Avg</v>
      </c>
      <c r="U423" s="1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 s="1">
        <v>2564</v>
      </c>
      <c r="T424" s="3" t="str">
        <f t="shared" si="6"/>
        <v>Below Avg</v>
      </c>
      <c r="U424" s="1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 s="1">
        <v>8412</v>
      </c>
      <c r="T425" s="3" t="str">
        <f t="shared" si="6"/>
        <v>Above Avg</v>
      </c>
      <c r="U425" s="1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 s="1">
        <v>14118</v>
      </c>
      <c r="T426" s="3" t="str">
        <f t="shared" si="6"/>
        <v>Above Avg</v>
      </c>
      <c r="U426" s="1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 s="1">
        <v>17046</v>
      </c>
      <c r="T427" s="3" t="str">
        <f t="shared" si="6"/>
        <v>Above Avg</v>
      </c>
      <c r="U427" s="1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 s="1">
        <v>2564</v>
      </c>
      <c r="T428" s="3" t="str">
        <f t="shared" si="6"/>
        <v>Below Avg</v>
      </c>
      <c r="U428" s="1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 s="1">
        <v>10266</v>
      </c>
      <c r="T429" s="3" t="str">
        <f t="shared" si="6"/>
        <v>Above Avg</v>
      </c>
      <c r="U429" s="1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 s="1">
        <v>5070</v>
      </c>
      <c r="T430" s="3" t="str">
        <f t="shared" si="6"/>
        <v>Below Avg</v>
      </c>
      <c r="U430" s="1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 s="1">
        <v>17861</v>
      </c>
      <c r="T431" s="3" t="str">
        <f t="shared" si="6"/>
        <v>Above Avg</v>
      </c>
      <c r="U431" s="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 s="1">
        <v>4230</v>
      </c>
      <c r="T432" s="3" t="str">
        <f t="shared" si="6"/>
        <v>Below Avg</v>
      </c>
      <c r="U432" s="1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 s="1">
        <v>3780</v>
      </c>
      <c r="T433" s="3" t="str">
        <f t="shared" si="6"/>
        <v>Below Avg</v>
      </c>
      <c r="U433" s="1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 s="1">
        <v>2768</v>
      </c>
      <c r="T434" s="3" t="str">
        <f t="shared" si="6"/>
        <v>Below Avg</v>
      </c>
      <c r="U434" s="1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 s="1">
        <v>9071</v>
      </c>
      <c r="T435" s="3" t="str">
        <f t="shared" si="6"/>
        <v>Above Avg</v>
      </c>
      <c r="U435" s="1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 s="1">
        <v>10648</v>
      </c>
      <c r="T436" s="3" t="str">
        <f t="shared" si="6"/>
        <v>Above Avg</v>
      </c>
      <c r="U436" s="1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 s="1">
        <v>13610</v>
      </c>
      <c r="T437" s="3" t="str">
        <f t="shared" si="6"/>
        <v>Above Avg</v>
      </c>
      <c r="U437" s="1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 s="1">
        <v>3408</v>
      </c>
      <c r="T438" s="3" t="str">
        <f t="shared" si="6"/>
        <v>Below Avg</v>
      </c>
      <c r="U438" s="1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 s="1">
        <v>2983</v>
      </c>
      <c r="T439" s="3" t="str">
        <f t="shared" si="6"/>
        <v>Below Avg</v>
      </c>
      <c r="U439" s="1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 s="1">
        <v>7632</v>
      </c>
      <c r="T440" s="3" t="str">
        <f t="shared" si="6"/>
        <v>Above Avg</v>
      </c>
      <c r="U440" s="1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 s="1">
        <v>9824</v>
      </c>
      <c r="T441" s="3" t="str">
        <f t="shared" si="6"/>
        <v>Above Avg</v>
      </c>
      <c r="U441" s="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 s="1">
        <v>9950</v>
      </c>
      <c r="T442" s="3" t="str">
        <f t="shared" si="6"/>
        <v>Above Avg</v>
      </c>
      <c r="U442" s="1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 s="1">
        <v>2093</v>
      </c>
      <c r="T443" s="3" t="str">
        <f t="shared" si="6"/>
        <v>Below Avg</v>
      </c>
      <c r="U443" s="1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 s="1">
        <v>9980</v>
      </c>
      <c r="T444" s="3" t="str">
        <f t="shared" si="6"/>
        <v>Above Avg</v>
      </c>
      <c r="U444" s="1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 s="1">
        <v>3894</v>
      </c>
      <c r="T445" s="3" t="str">
        <f t="shared" si="6"/>
        <v>Below Avg</v>
      </c>
      <c r="U445" s="1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 s="1">
        <v>4051</v>
      </c>
      <c r="T446" s="3" t="str">
        <f t="shared" si="6"/>
        <v>Below Avg</v>
      </c>
      <c r="U446" s="1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 s="1">
        <v>16835</v>
      </c>
      <c r="T447" s="3" t="str">
        <f t="shared" si="6"/>
        <v>Above Avg</v>
      </c>
      <c r="U447" s="1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 s="1">
        <v>6230</v>
      </c>
      <c r="T448" s="3" t="str">
        <f t="shared" si="6"/>
        <v>Below Avg</v>
      </c>
      <c r="U448" s="1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 s="1">
        <v>4717</v>
      </c>
      <c r="T449" s="3" t="str">
        <f t="shared" si="6"/>
        <v>Below Avg</v>
      </c>
      <c r="U449" s="1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 s="1">
        <v>13237</v>
      </c>
      <c r="T450" s="3" t="str">
        <f t="shared" ref="T450:T513" si="7">IF( S450 &lt; AVERAGE($S$2:$S$1471), "Below Avg", "Above Avg" )</f>
        <v>Above Avg</v>
      </c>
      <c r="U450" s="1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 s="1">
        <v>3755</v>
      </c>
      <c r="T451" s="3" t="str">
        <f t="shared" si="7"/>
        <v>Below Avg</v>
      </c>
      <c r="U451" s="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 s="1">
        <v>6582</v>
      </c>
      <c r="T452" s="3" t="str">
        <f t="shared" si="7"/>
        <v>Above Avg</v>
      </c>
      <c r="U452" s="1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 s="1">
        <v>7406</v>
      </c>
      <c r="T453" s="3" t="str">
        <f t="shared" si="7"/>
        <v>Above Avg</v>
      </c>
      <c r="U453" s="1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 s="1">
        <v>4805</v>
      </c>
      <c r="T454" s="3" t="str">
        <f t="shared" si="7"/>
        <v>Below Avg</v>
      </c>
      <c r="U454" s="1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 s="1">
        <v>2741</v>
      </c>
      <c r="T455" s="3" t="str">
        <f t="shared" si="7"/>
        <v>Below Avg</v>
      </c>
      <c r="U455" s="1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 s="1">
        <v>4262</v>
      </c>
      <c r="T456" s="3" t="str">
        <f t="shared" si="7"/>
        <v>Below Avg</v>
      </c>
      <c r="U456" s="1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 s="1">
        <v>16184</v>
      </c>
      <c r="T457" s="3" t="str">
        <f t="shared" si="7"/>
        <v>Above Avg</v>
      </c>
      <c r="U457" s="1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 s="1">
        <v>11557</v>
      </c>
      <c r="T458" s="3" t="str">
        <f t="shared" si="7"/>
        <v>Above Avg</v>
      </c>
      <c r="U458" s="1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 s="1">
        <v>1878</v>
      </c>
      <c r="T459" s="3" t="str">
        <f t="shared" si="7"/>
        <v>Below Avg</v>
      </c>
      <c r="U459" s="1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 s="1">
        <v>10932</v>
      </c>
      <c r="T460" s="3" t="str">
        <f t="shared" si="7"/>
        <v>Above Avg</v>
      </c>
      <c r="U460" s="1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 s="1">
        <v>6811</v>
      </c>
      <c r="T461" s="3" t="str">
        <f t="shared" si="7"/>
        <v>Above Avg</v>
      </c>
      <c r="U461" s="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 s="1">
        <v>4306</v>
      </c>
      <c r="T462" s="3" t="str">
        <f t="shared" si="7"/>
        <v>Below Avg</v>
      </c>
      <c r="U462" s="1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 s="1">
        <v>4859</v>
      </c>
      <c r="T463" s="3" t="str">
        <f t="shared" si="7"/>
        <v>Below Avg</v>
      </c>
      <c r="U463" s="1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 s="1">
        <v>5337</v>
      </c>
      <c r="T464" s="3" t="str">
        <f t="shared" si="7"/>
        <v>Below Avg</v>
      </c>
      <c r="U464" s="1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 s="1">
        <v>2340</v>
      </c>
      <c r="T465" s="3" t="str">
        <f t="shared" si="7"/>
        <v>Below Avg</v>
      </c>
      <c r="U465" s="1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 s="1">
        <v>7491</v>
      </c>
      <c r="T466" s="3" t="str">
        <f t="shared" si="7"/>
        <v>Above Avg</v>
      </c>
      <c r="U466" s="1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 s="1">
        <v>10527</v>
      </c>
      <c r="T467" s="3" t="str">
        <f t="shared" si="7"/>
        <v>Above Avg</v>
      </c>
      <c r="U467" s="1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 s="1">
        <v>16595</v>
      </c>
      <c r="T468" s="3" t="str">
        <f t="shared" si="7"/>
        <v>Above Avg</v>
      </c>
      <c r="U468" s="1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 s="1">
        <v>8834</v>
      </c>
      <c r="T469" s="3" t="str">
        <f t="shared" si="7"/>
        <v>Above Avg</v>
      </c>
      <c r="U469" s="1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 s="1">
        <v>5577</v>
      </c>
      <c r="T470" s="3" t="str">
        <f t="shared" si="7"/>
        <v>Below Avg</v>
      </c>
      <c r="U470" s="1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 s="1">
        <v>4707</v>
      </c>
      <c r="T471" s="3" t="str">
        <f t="shared" si="7"/>
        <v>Below Avg</v>
      </c>
      <c r="U471" s="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 s="1">
        <v>2400</v>
      </c>
      <c r="T472" s="3" t="str">
        <f t="shared" si="7"/>
        <v>Below Avg</v>
      </c>
      <c r="U472" s="1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 s="1">
        <v>9824</v>
      </c>
      <c r="T473" s="3" t="str">
        <f t="shared" si="7"/>
        <v>Above Avg</v>
      </c>
      <c r="U473" s="1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 s="1">
        <v>6447</v>
      </c>
      <c r="T474" s="3" t="str">
        <f t="shared" si="7"/>
        <v>Below Avg</v>
      </c>
      <c r="U474" s="1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 s="1">
        <v>19502</v>
      </c>
      <c r="T475" s="3" t="str">
        <f t="shared" si="7"/>
        <v>Above Avg</v>
      </c>
      <c r="U475" s="1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 s="1">
        <v>2725</v>
      </c>
      <c r="T476" s="3" t="str">
        <f t="shared" si="7"/>
        <v>Below Avg</v>
      </c>
      <c r="U476" s="1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 s="1">
        <v>6272</v>
      </c>
      <c r="T477" s="3" t="str">
        <f t="shared" si="7"/>
        <v>Below Avg</v>
      </c>
      <c r="U477" s="1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 s="1">
        <v>2127</v>
      </c>
      <c r="T478" s="3" t="str">
        <f t="shared" si="7"/>
        <v>Below Avg</v>
      </c>
      <c r="U478" s="1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 s="1">
        <v>18200</v>
      </c>
      <c r="T479" s="3" t="str">
        <f t="shared" si="7"/>
        <v>Above Avg</v>
      </c>
      <c r="U479" s="1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 s="1">
        <v>2096</v>
      </c>
      <c r="T480" s="3" t="str">
        <f t="shared" si="7"/>
        <v>Below Avg</v>
      </c>
      <c r="U480" s="1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 s="1">
        <v>2886</v>
      </c>
      <c r="T481" s="3" t="str">
        <f t="shared" si="7"/>
        <v>Below Avg</v>
      </c>
      <c r="U481" s="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 s="1">
        <v>2033</v>
      </c>
      <c r="T482" s="3" t="str">
        <f t="shared" si="7"/>
        <v>Below Avg</v>
      </c>
      <c r="U482" s="1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 s="1">
        <v>3622</v>
      </c>
      <c r="T483" s="3" t="str">
        <f t="shared" si="7"/>
        <v>Below Avg</v>
      </c>
      <c r="U483" s="1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 s="1">
        <v>4233</v>
      </c>
      <c r="T484" s="3" t="str">
        <f t="shared" si="7"/>
        <v>Below Avg</v>
      </c>
      <c r="U484" s="1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 s="1">
        <v>3681</v>
      </c>
      <c r="T485" s="3" t="str">
        <f t="shared" si="7"/>
        <v>Below Avg</v>
      </c>
      <c r="U485" s="1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 s="1">
        <v>5460</v>
      </c>
      <c r="T486" s="3" t="str">
        <f t="shared" si="7"/>
        <v>Below Avg</v>
      </c>
      <c r="U486" s="1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 s="1">
        <v>2187</v>
      </c>
      <c r="T487" s="3" t="str">
        <f t="shared" si="7"/>
        <v>Below Avg</v>
      </c>
      <c r="U487" s="1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 s="1">
        <v>9602</v>
      </c>
      <c r="T488" s="3" t="str">
        <f t="shared" si="7"/>
        <v>Above Avg</v>
      </c>
      <c r="U488" s="1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 s="1">
        <v>2836</v>
      </c>
      <c r="T489" s="3" t="str">
        <f t="shared" si="7"/>
        <v>Below Avg</v>
      </c>
      <c r="U489" s="1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 s="1">
        <v>4089</v>
      </c>
      <c r="T490" s="3" t="str">
        <f t="shared" si="7"/>
        <v>Below Avg</v>
      </c>
      <c r="U490" s="1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 s="1">
        <v>16627</v>
      </c>
      <c r="T491" s="3" t="str">
        <f t="shared" si="7"/>
        <v>Above Avg</v>
      </c>
      <c r="U491" s="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 s="1">
        <v>2619</v>
      </c>
      <c r="T492" s="3" t="str">
        <f t="shared" si="7"/>
        <v>Below Avg</v>
      </c>
      <c r="U492" s="1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 s="1">
        <v>5679</v>
      </c>
      <c r="T493" s="3" t="str">
        <f t="shared" si="7"/>
        <v>Below Avg</v>
      </c>
      <c r="U493" s="1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 s="1">
        <v>15402</v>
      </c>
      <c r="T494" s="3" t="str">
        <f t="shared" si="7"/>
        <v>Above Avg</v>
      </c>
      <c r="U494" s="1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 s="1">
        <v>5985</v>
      </c>
      <c r="T495" s="3" t="str">
        <f t="shared" si="7"/>
        <v>Below Avg</v>
      </c>
      <c r="U495" s="1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 s="1">
        <v>2579</v>
      </c>
      <c r="T496" s="3" t="str">
        <f t="shared" si="7"/>
        <v>Below Avg</v>
      </c>
      <c r="U496" s="1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 s="1">
        <v>3041</v>
      </c>
      <c r="T497" s="3" t="str">
        <f t="shared" si="7"/>
        <v>Below Avg</v>
      </c>
      <c r="U497" s="1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 s="1">
        <v>3447</v>
      </c>
      <c r="T498" s="3" t="str">
        <f t="shared" si="7"/>
        <v>Below Avg</v>
      </c>
      <c r="U498" s="1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 s="1">
        <v>19513</v>
      </c>
      <c r="T499" s="3" t="str">
        <f t="shared" si="7"/>
        <v>Above Avg</v>
      </c>
      <c r="U499" s="1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 s="1">
        <v>2773</v>
      </c>
      <c r="T500" s="3" t="str">
        <f t="shared" si="7"/>
        <v>Below Avg</v>
      </c>
      <c r="U500" s="1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 s="1">
        <v>7104</v>
      </c>
      <c r="T501" s="3" t="str">
        <f t="shared" si="7"/>
        <v>Above Avg</v>
      </c>
      <c r="U501" s="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 s="1">
        <v>6322</v>
      </c>
      <c r="T502" s="3" t="str">
        <f t="shared" si="7"/>
        <v>Below Avg</v>
      </c>
      <c r="U502" s="1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 s="1">
        <v>2083</v>
      </c>
      <c r="T503" s="3" t="str">
        <f t="shared" si="7"/>
        <v>Below Avg</v>
      </c>
      <c r="U503" s="1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 s="1">
        <v>8381</v>
      </c>
      <c r="T504" s="3" t="str">
        <f t="shared" si="7"/>
        <v>Above Avg</v>
      </c>
      <c r="U504" s="1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 s="1">
        <v>2691</v>
      </c>
      <c r="T505" s="3" t="str">
        <f t="shared" si="7"/>
        <v>Below Avg</v>
      </c>
      <c r="U505" s="1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 s="1">
        <v>4286</v>
      </c>
      <c r="T506" s="3" t="str">
        <f t="shared" si="7"/>
        <v>Below Avg</v>
      </c>
      <c r="U506" s="1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 s="1">
        <v>2659</v>
      </c>
      <c r="T507" s="3" t="str">
        <f t="shared" si="7"/>
        <v>Below Avg</v>
      </c>
      <c r="U507" s="1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 s="1">
        <v>9434</v>
      </c>
      <c r="T508" s="3" t="str">
        <f t="shared" si="7"/>
        <v>Above Avg</v>
      </c>
      <c r="U508" s="1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 s="1">
        <v>5561</v>
      </c>
      <c r="T509" s="3" t="str">
        <f t="shared" si="7"/>
        <v>Below Avg</v>
      </c>
      <c r="U509" s="1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 s="1">
        <v>6646</v>
      </c>
      <c r="T510" s="3" t="str">
        <f t="shared" si="7"/>
        <v>Above Avg</v>
      </c>
      <c r="U510" s="1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 s="1">
        <v>7725</v>
      </c>
      <c r="T511" s="3" t="str">
        <f t="shared" si="7"/>
        <v>Above Avg</v>
      </c>
      <c r="U511" s="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 s="1">
        <v>10725</v>
      </c>
      <c r="T512" s="3" t="str">
        <f t="shared" si="7"/>
        <v>Above Avg</v>
      </c>
      <c r="U512" s="1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 s="1">
        <v>8847</v>
      </c>
      <c r="T513" s="3" t="str">
        <f t="shared" si="7"/>
        <v>Above Avg</v>
      </c>
      <c r="U513" s="1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 s="1">
        <v>2045</v>
      </c>
      <c r="T514" s="3" t="str">
        <f t="shared" ref="T514:T577" si="8">IF( S514 &lt; AVERAGE($S$2:$S$1471), "Below Avg", "Above Avg" )</f>
        <v>Below Avg</v>
      </c>
      <c r="U514" s="1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 s="1">
        <v>1009</v>
      </c>
      <c r="T515" s="3" t="str">
        <f t="shared" si="8"/>
        <v>Below Avg</v>
      </c>
      <c r="U515" s="1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 s="1">
        <v>3348</v>
      </c>
      <c r="T516" s="3" t="str">
        <f t="shared" si="8"/>
        <v>Below Avg</v>
      </c>
      <c r="U516" s="1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 s="1">
        <v>1281</v>
      </c>
      <c r="T517" s="3" t="str">
        <f t="shared" si="8"/>
        <v>Below Avg</v>
      </c>
      <c r="U517" s="1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 s="1">
        <v>2819</v>
      </c>
      <c r="T518" s="3" t="str">
        <f t="shared" si="8"/>
        <v>Below Avg</v>
      </c>
      <c r="U518" s="1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 s="1">
        <v>4851</v>
      </c>
      <c r="T519" s="3" t="str">
        <f t="shared" si="8"/>
        <v>Below Avg</v>
      </c>
      <c r="U519" s="1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 s="1">
        <v>4028</v>
      </c>
      <c r="T520" s="3" t="str">
        <f t="shared" si="8"/>
        <v>Below Avg</v>
      </c>
      <c r="U520" s="1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 s="1">
        <v>2720</v>
      </c>
      <c r="T521" s="3" t="str">
        <f t="shared" si="8"/>
        <v>Below Avg</v>
      </c>
      <c r="U521" s="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 s="1">
        <v>8120</v>
      </c>
      <c r="T522" s="3" t="str">
        <f t="shared" si="8"/>
        <v>Above Avg</v>
      </c>
      <c r="U522" s="1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 s="1">
        <v>4647</v>
      </c>
      <c r="T523" s="3" t="str">
        <f t="shared" si="8"/>
        <v>Below Avg</v>
      </c>
      <c r="U523" s="1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 s="1">
        <v>4680</v>
      </c>
      <c r="T524" s="3" t="str">
        <f t="shared" si="8"/>
        <v>Below Avg</v>
      </c>
      <c r="U524" s="1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 s="1">
        <v>3221</v>
      </c>
      <c r="T525" s="3" t="str">
        <f t="shared" si="8"/>
        <v>Below Avg</v>
      </c>
      <c r="U525" s="1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 s="1">
        <v>8621</v>
      </c>
      <c r="T526" s="3" t="str">
        <f t="shared" si="8"/>
        <v>Above Avg</v>
      </c>
      <c r="U526" s="1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 s="1">
        <v>4577</v>
      </c>
      <c r="T527" s="3" t="str">
        <f t="shared" si="8"/>
        <v>Below Avg</v>
      </c>
      <c r="U527" s="1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 s="1">
        <v>4553</v>
      </c>
      <c r="T528" s="3" t="str">
        <f t="shared" si="8"/>
        <v>Below Avg</v>
      </c>
      <c r="U528" s="1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 s="1">
        <v>5396</v>
      </c>
      <c r="T529" s="3" t="str">
        <f t="shared" si="8"/>
        <v>Below Avg</v>
      </c>
      <c r="U529" s="1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 s="1">
        <v>6796</v>
      </c>
      <c r="T530" s="3" t="str">
        <f t="shared" si="8"/>
        <v>Above Avg</v>
      </c>
      <c r="U530" s="1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 s="1">
        <v>7625</v>
      </c>
      <c r="T531" s="3" t="str">
        <f t="shared" si="8"/>
        <v>Above Avg</v>
      </c>
      <c r="U531" s="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 s="1">
        <v>7412</v>
      </c>
      <c r="T532" s="3" t="str">
        <f t="shared" si="8"/>
        <v>Above Avg</v>
      </c>
      <c r="U532" s="1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 s="1">
        <v>11159</v>
      </c>
      <c r="T533" s="3" t="str">
        <f t="shared" si="8"/>
        <v>Above Avg</v>
      </c>
      <c r="U533" s="1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 s="1">
        <v>4960</v>
      </c>
      <c r="T534" s="3" t="str">
        <f t="shared" si="8"/>
        <v>Below Avg</v>
      </c>
      <c r="U534" s="1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 s="1">
        <v>10475</v>
      </c>
      <c r="T535" s="3" t="str">
        <f t="shared" si="8"/>
        <v>Above Avg</v>
      </c>
      <c r="U535" s="1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 s="1">
        <v>14814</v>
      </c>
      <c r="T536" s="3" t="str">
        <f t="shared" si="8"/>
        <v>Above Avg</v>
      </c>
      <c r="U536" s="1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 s="1">
        <v>19141</v>
      </c>
      <c r="T537" s="3" t="str">
        <f t="shared" si="8"/>
        <v>Above Avg</v>
      </c>
      <c r="U537" s="1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 s="1">
        <v>5405</v>
      </c>
      <c r="T538" s="3" t="str">
        <f t="shared" si="8"/>
        <v>Below Avg</v>
      </c>
      <c r="U538" s="1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 s="1">
        <v>8793</v>
      </c>
      <c r="T539" s="3" t="str">
        <f t="shared" si="8"/>
        <v>Above Avg</v>
      </c>
      <c r="U539" s="1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 s="1">
        <v>19189</v>
      </c>
      <c r="T540" s="3" t="str">
        <f t="shared" si="8"/>
        <v>Above Avg</v>
      </c>
      <c r="U540" s="1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 s="1">
        <v>3875</v>
      </c>
      <c r="T541" s="3" t="str">
        <f t="shared" si="8"/>
        <v>Below Avg</v>
      </c>
      <c r="U541" s="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 s="1">
        <v>2216</v>
      </c>
      <c r="T542" s="3" t="str">
        <f t="shared" si="8"/>
        <v>Below Avg</v>
      </c>
      <c r="U542" s="1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 s="1">
        <v>11713</v>
      </c>
      <c r="T543" s="3" t="str">
        <f t="shared" si="8"/>
        <v>Above Avg</v>
      </c>
      <c r="U543" s="1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 s="1">
        <v>7861</v>
      </c>
      <c r="T544" s="3" t="str">
        <f t="shared" si="8"/>
        <v>Above Avg</v>
      </c>
      <c r="U544" s="1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 s="1">
        <v>3708</v>
      </c>
      <c r="T545" s="3" t="str">
        <f t="shared" si="8"/>
        <v>Below Avg</v>
      </c>
      <c r="U545" s="1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 s="1">
        <v>13770</v>
      </c>
      <c r="T546" s="3" t="str">
        <f t="shared" si="8"/>
        <v>Above Avg</v>
      </c>
      <c r="U546" s="1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 s="1">
        <v>5304</v>
      </c>
      <c r="T547" s="3" t="str">
        <f t="shared" si="8"/>
        <v>Below Avg</v>
      </c>
      <c r="U547" s="1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 s="1">
        <v>2642</v>
      </c>
      <c r="T548" s="3" t="str">
        <f t="shared" si="8"/>
        <v>Below Avg</v>
      </c>
      <c r="U548" s="1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 s="1">
        <v>2759</v>
      </c>
      <c r="T549" s="3" t="str">
        <f t="shared" si="8"/>
        <v>Below Avg</v>
      </c>
      <c r="U549" s="1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 s="1">
        <v>6804</v>
      </c>
      <c r="T550" s="3" t="str">
        <f t="shared" si="8"/>
        <v>Above Avg</v>
      </c>
      <c r="U550" s="1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 s="1">
        <v>6142</v>
      </c>
      <c r="T551" s="3" t="str">
        <f t="shared" si="8"/>
        <v>Below Avg</v>
      </c>
      <c r="U551" s="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 s="1">
        <v>2500</v>
      </c>
      <c r="T552" s="3" t="str">
        <f t="shared" si="8"/>
        <v>Below Avg</v>
      </c>
      <c r="U552" s="1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 s="1">
        <v>6389</v>
      </c>
      <c r="T553" s="3" t="str">
        <f t="shared" si="8"/>
        <v>Below Avg</v>
      </c>
      <c r="U553" s="1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 s="1">
        <v>11103</v>
      </c>
      <c r="T554" s="3" t="str">
        <f t="shared" si="8"/>
        <v>Above Avg</v>
      </c>
      <c r="U554" s="1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 s="1">
        <v>2342</v>
      </c>
      <c r="T555" s="3" t="str">
        <f t="shared" si="8"/>
        <v>Below Avg</v>
      </c>
      <c r="U555" s="1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 s="1">
        <v>6811</v>
      </c>
      <c r="T556" s="3" t="str">
        <f t="shared" si="8"/>
        <v>Above Avg</v>
      </c>
      <c r="U556" s="1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 s="1">
        <v>2297</v>
      </c>
      <c r="T557" s="3" t="str">
        <f t="shared" si="8"/>
        <v>Below Avg</v>
      </c>
      <c r="U557" s="1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 s="1">
        <v>2450</v>
      </c>
      <c r="T558" s="3" t="str">
        <f t="shared" si="8"/>
        <v>Below Avg</v>
      </c>
      <c r="U558" s="1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 s="1">
        <v>5093</v>
      </c>
      <c r="T559" s="3" t="str">
        <f t="shared" si="8"/>
        <v>Below Avg</v>
      </c>
      <c r="U559" s="1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 s="1">
        <v>5309</v>
      </c>
      <c r="T560" s="3" t="str">
        <f t="shared" si="8"/>
        <v>Below Avg</v>
      </c>
      <c r="U560" s="1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 s="1">
        <v>3057</v>
      </c>
      <c r="T561" s="3" t="str">
        <f t="shared" si="8"/>
        <v>Below Avg</v>
      </c>
      <c r="U561" s="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 s="1">
        <v>5121</v>
      </c>
      <c r="T562" s="3" t="str">
        <f t="shared" si="8"/>
        <v>Below Avg</v>
      </c>
      <c r="U562" s="1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 s="1">
        <v>16856</v>
      </c>
      <c r="T563" s="3" t="str">
        <f t="shared" si="8"/>
        <v>Above Avg</v>
      </c>
      <c r="U563" s="1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 s="1">
        <v>2686</v>
      </c>
      <c r="T564" s="3" t="str">
        <f t="shared" si="8"/>
        <v>Below Avg</v>
      </c>
      <c r="U564" s="1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 s="1">
        <v>6180</v>
      </c>
      <c r="T565" s="3" t="str">
        <f t="shared" si="8"/>
        <v>Below Avg</v>
      </c>
      <c r="U565" s="1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 s="1">
        <v>6632</v>
      </c>
      <c r="T566" s="3" t="str">
        <f t="shared" si="8"/>
        <v>Above Avg</v>
      </c>
      <c r="U566" s="1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 s="1">
        <v>3505</v>
      </c>
      <c r="T567" s="3" t="str">
        <f t="shared" si="8"/>
        <v>Below Avg</v>
      </c>
      <c r="U567" s="1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 s="1">
        <v>6397</v>
      </c>
      <c r="T568" s="3" t="str">
        <f t="shared" si="8"/>
        <v>Below Avg</v>
      </c>
      <c r="U568" s="1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 s="1">
        <v>6274</v>
      </c>
      <c r="T569" s="3" t="str">
        <f t="shared" si="8"/>
        <v>Below Avg</v>
      </c>
      <c r="U569" s="1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 s="1">
        <v>19859</v>
      </c>
      <c r="T570" s="3" t="str">
        <f t="shared" si="8"/>
        <v>Above Avg</v>
      </c>
      <c r="U570" s="1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 s="1">
        <v>7587</v>
      </c>
      <c r="T571" s="3" t="str">
        <f t="shared" si="8"/>
        <v>Above Avg</v>
      </c>
      <c r="U571" s="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 s="1">
        <v>4258</v>
      </c>
      <c r="T572" s="3" t="str">
        <f t="shared" si="8"/>
        <v>Below Avg</v>
      </c>
      <c r="U572" s="1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 s="1">
        <v>4364</v>
      </c>
      <c r="T573" s="3" t="str">
        <f t="shared" si="8"/>
        <v>Below Avg</v>
      </c>
      <c r="U573" s="1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 s="1">
        <v>4335</v>
      </c>
      <c r="T574" s="3" t="str">
        <f t="shared" si="8"/>
        <v>Below Avg</v>
      </c>
      <c r="U574" s="1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 s="1">
        <v>5326</v>
      </c>
      <c r="T575" s="3" t="str">
        <f t="shared" si="8"/>
        <v>Below Avg</v>
      </c>
      <c r="U575" s="1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 s="1">
        <v>3280</v>
      </c>
      <c r="T576" s="3" t="str">
        <f t="shared" si="8"/>
        <v>Below Avg</v>
      </c>
      <c r="U576" s="1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 s="1">
        <v>5485</v>
      </c>
      <c r="T577" s="3" t="str">
        <f t="shared" si="8"/>
        <v>Below Avg</v>
      </c>
      <c r="U577" s="1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 s="1">
        <v>4342</v>
      </c>
      <c r="T578" s="3" t="str">
        <f t="shared" ref="T578:T641" si="9">IF( S578 &lt; AVERAGE($S$2:$S$1471), "Below Avg", "Above Avg" )</f>
        <v>Below Avg</v>
      </c>
      <c r="U578" s="1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 s="1">
        <v>2782</v>
      </c>
      <c r="T579" s="3" t="str">
        <f t="shared" si="9"/>
        <v>Below Avg</v>
      </c>
      <c r="U579" s="1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 s="1">
        <v>5980</v>
      </c>
      <c r="T580" s="3" t="str">
        <f t="shared" si="9"/>
        <v>Below Avg</v>
      </c>
      <c r="U580" s="1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 s="1">
        <v>4381</v>
      </c>
      <c r="T581" s="3" t="str">
        <f t="shared" si="9"/>
        <v>Below Avg</v>
      </c>
      <c r="U581" s="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 s="1">
        <v>2572</v>
      </c>
      <c r="T582" s="3" t="str">
        <f t="shared" si="9"/>
        <v>Below Avg</v>
      </c>
      <c r="U582" s="1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 s="1">
        <v>3833</v>
      </c>
      <c r="T583" s="3" t="str">
        <f t="shared" si="9"/>
        <v>Below Avg</v>
      </c>
      <c r="U583" s="1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 s="1">
        <v>4244</v>
      </c>
      <c r="T584" s="3" t="str">
        <f t="shared" si="9"/>
        <v>Below Avg</v>
      </c>
      <c r="U584" s="1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 s="1">
        <v>6500</v>
      </c>
      <c r="T585" s="3" t="str">
        <f t="shared" si="9"/>
        <v>Below Avg</v>
      </c>
      <c r="U585" s="1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 s="1">
        <v>18430</v>
      </c>
      <c r="T586" s="3" t="str">
        <f t="shared" si="9"/>
        <v>Above Avg</v>
      </c>
      <c r="U586" s="1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 s="1">
        <v>1601</v>
      </c>
      <c r="T587" s="3" t="str">
        <f t="shared" si="9"/>
        <v>Below Avg</v>
      </c>
      <c r="U587" s="1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 s="1">
        <v>2694</v>
      </c>
      <c r="T588" s="3" t="str">
        <f t="shared" si="9"/>
        <v>Below Avg</v>
      </c>
      <c r="U588" s="1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 s="1">
        <v>3149</v>
      </c>
      <c r="T589" s="3" t="str">
        <f t="shared" si="9"/>
        <v>Below Avg</v>
      </c>
      <c r="U589" s="1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 s="1">
        <v>17639</v>
      </c>
      <c r="T590" s="3" t="str">
        <f t="shared" si="9"/>
        <v>Above Avg</v>
      </c>
      <c r="U590" s="1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 s="1">
        <v>2319</v>
      </c>
      <c r="T591" s="3" t="str">
        <f t="shared" si="9"/>
        <v>Below Avg</v>
      </c>
      <c r="U591" s="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 s="1">
        <v>11691</v>
      </c>
      <c r="T592" s="3" t="str">
        <f t="shared" si="9"/>
        <v>Above Avg</v>
      </c>
      <c r="U592" s="1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 s="1">
        <v>5324</v>
      </c>
      <c r="T593" s="3" t="str">
        <f t="shared" si="9"/>
        <v>Below Avg</v>
      </c>
      <c r="U593" s="1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 s="1">
        <v>16752</v>
      </c>
      <c r="T594" s="3" t="str">
        <f t="shared" si="9"/>
        <v>Above Avg</v>
      </c>
      <c r="U594" s="1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 s="1">
        <v>5228</v>
      </c>
      <c r="T595" s="3" t="str">
        <f t="shared" si="9"/>
        <v>Below Avg</v>
      </c>
      <c r="U595" s="1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 s="1">
        <v>2700</v>
      </c>
      <c r="T596" s="3" t="str">
        <f t="shared" si="9"/>
        <v>Below Avg</v>
      </c>
      <c r="U596" s="1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 s="1">
        <v>19246</v>
      </c>
      <c r="T597" s="3" t="str">
        <f t="shared" si="9"/>
        <v>Above Avg</v>
      </c>
      <c r="U597" s="1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 s="1">
        <v>2506</v>
      </c>
      <c r="T598" s="3" t="str">
        <f t="shared" si="9"/>
        <v>Below Avg</v>
      </c>
      <c r="U598" s="1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 s="1">
        <v>6062</v>
      </c>
      <c r="T599" s="3" t="str">
        <f t="shared" si="9"/>
        <v>Below Avg</v>
      </c>
      <c r="U599" s="1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 s="1">
        <v>4382</v>
      </c>
      <c r="T600" s="3" t="str">
        <f t="shared" si="9"/>
        <v>Below Avg</v>
      </c>
      <c r="U600" s="1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 s="1">
        <v>2143</v>
      </c>
      <c r="T601" s="3" t="str">
        <f t="shared" si="9"/>
        <v>Below Avg</v>
      </c>
      <c r="U601" s="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 s="1">
        <v>6162</v>
      </c>
      <c r="T602" s="3" t="str">
        <f t="shared" si="9"/>
        <v>Below Avg</v>
      </c>
      <c r="U602" s="1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 s="1">
        <v>5094</v>
      </c>
      <c r="T603" s="3" t="str">
        <f t="shared" si="9"/>
        <v>Below Avg</v>
      </c>
      <c r="U603" s="1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 s="1">
        <v>6877</v>
      </c>
      <c r="T604" s="3" t="str">
        <f t="shared" si="9"/>
        <v>Above Avg</v>
      </c>
      <c r="U604" s="1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 s="1">
        <v>2274</v>
      </c>
      <c r="T605" s="3" t="str">
        <f t="shared" si="9"/>
        <v>Below Avg</v>
      </c>
      <c r="U605" s="1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 s="1">
        <v>4434</v>
      </c>
      <c r="T606" s="3" t="str">
        <f t="shared" si="9"/>
        <v>Below Avg</v>
      </c>
      <c r="U606" s="1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 s="1">
        <v>6288</v>
      </c>
      <c r="T607" s="3" t="str">
        <f t="shared" si="9"/>
        <v>Below Avg</v>
      </c>
      <c r="U607" s="1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 s="1">
        <v>2553</v>
      </c>
      <c r="T608" s="3" t="str">
        <f t="shared" si="9"/>
        <v>Below Avg</v>
      </c>
      <c r="U608" s="1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 s="1">
        <v>7654</v>
      </c>
      <c r="T609" s="3" t="str">
        <f t="shared" si="9"/>
        <v>Above Avg</v>
      </c>
      <c r="U609" s="1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 s="1">
        <v>5160</v>
      </c>
      <c r="T610" s="3" t="str">
        <f t="shared" si="9"/>
        <v>Below Avg</v>
      </c>
      <c r="U610" s="1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 s="1">
        <v>17159</v>
      </c>
      <c r="T611" s="3" t="str">
        <f t="shared" si="9"/>
        <v>Above Avg</v>
      </c>
      <c r="U611" s="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 s="1">
        <v>12808</v>
      </c>
      <c r="T612" s="3" t="str">
        <f t="shared" si="9"/>
        <v>Above Avg</v>
      </c>
      <c r="U612" s="1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 s="1">
        <v>10221</v>
      </c>
      <c r="T613" s="3" t="str">
        <f t="shared" si="9"/>
        <v>Above Avg</v>
      </c>
      <c r="U613" s="1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 s="1">
        <v>4779</v>
      </c>
      <c r="T614" s="3" t="str">
        <f t="shared" si="9"/>
        <v>Below Avg</v>
      </c>
      <c r="U614" s="1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 s="1">
        <v>3737</v>
      </c>
      <c r="T615" s="3" t="str">
        <f t="shared" si="9"/>
        <v>Below Avg</v>
      </c>
      <c r="U615" s="1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 s="1">
        <v>2366</v>
      </c>
      <c r="T616" s="3" t="str">
        <f t="shared" si="9"/>
        <v>Below Avg</v>
      </c>
      <c r="U616" s="1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 s="1">
        <v>1706</v>
      </c>
      <c r="T617" s="3" t="str">
        <f t="shared" si="9"/>
        <v>Below Avg</v>
      </c>
      <c r="U617" s="1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 s="1">
        <v>16307</v>
      </c>
      <c r="T618" s="3" t="str">
        <f t="shared" si="9"/>
        <v>Above Avg</v>
      </c>
      <c r="U618" s="1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 s="1">
        <v>5933</v>
      </c>
      <c r="T619" s="3" t="str">
        <f t="shared" si="9"/>
        <v>Below Avg</v>
      </c>
      <c r="U619" s="1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 s="1">
        <v>3424</v>
      </c>
      <c r="T620" s="3" t="str">
        <f t="shared" si="9"/>
        <v>Below Avg</v>
      </c>
      <c r="U620" s="1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 s="1">
        <v>4037</v>
      </c>
      <c r="T621" s="3" t="str">
        <f t="shared" si="9"/>
        <v>Below Avg</v>
      </c>
      <c r="U621" s="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 s="1">
        <v>2559</v>
      </c>
      <c r="T622" s="3" t="str">
        <f t="shared" si="9"/>
        <v>Below Avg</v>
      </c>
      <c r="U622" s="1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1">
        <v>6201</v>
      </c>
      <c r="T623" s="3" t="str">
        <f t="shared" si="9"/>
        <v>Below Avg</v>
      </c>
      <c r="U623" s="1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 s="1">
        <v>4403</v>
      </c>
      <c r="T624" s="3" t="str">
        <f t="shared" si="9"/>
        <v>Below Avg</v>
      </c>
      <c r="U624" s="1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 s="1">
        <v>3761</v>
      </c>
      <c r="T625" s="3" t="str">
        <f t="shared" si="9"/>
        <v>Below Avg</v>
      </c>
      <c r="U625" s="1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 s="1">
        <v>10934</v>
      </c>
      <c r="T626" s="3" t="str">
        <f t="shared" si="9"/>
        <v>Above Avg</v>
      </c>
      <c r="U626" s="1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 s="1">
        <v>10761</v>
      </c>
      <c r="T627" s="3" t="str">
        <f t="shared" si="9"/>
        <v>Above Avg</v>
      </c>
      <c r="U627" s="1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 s="1">
        <v>5175</v>
      </c>
      <c r="T628" s="3" t="str">
        <f t="shared" si="9"/>
        <v>Below Avg</v>
      </c>
      <c r="U628" s="1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 s="1">
        <v>13826</v>
      </c>
      <c r="T629" s="3" t="str">
        <f t="shared" si="9"/>
        <v>Above Avg</v>
      </c>
      <c r="U629" s="1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 s="1">
        <v>6334</v>
      </c>
      <c r="T630" s="3" t="str">
        <f t="shared" si="9"/>
        <v>Below Avg</v>
      </c>
      <c r="U630" s="1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 s="1">
        <v>4936</v>
      </c>
      <c r="T631" s="3" t="str">
        <f t="shared" si="9"/>
        <v>Below Avg</v>
      </c>
      <c r="U631" s="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 s="1">
        <v>4775</v>
      </c>
      <c r="T632" s="3" t="str">
        <f t="shared" si="9"/>
        <v>Below Avg</v>
      </c>
      <c r="U632" s="1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 s="1">
        <v>2818</v>
      </c>
      <c r="T633" s="3" t="str">
        <f t="shared" si="9"/>
        <v>Below Avg</v>
      </c>
      <c r="U633" s="1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 s="1">
        <v>2515</v>
      </c>
      <c r="T634" s="3" t="str">
        <f t="shared" si="9"/>
        <v>Below Avg</v>
      </c>
      <c r="U634" s="1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 s="1">
        <v>2342</v>
      </c>
      <c r="T635" s="3" t="str">
        <f t="shared" si="9"/>
        <v>Below Avg</v>
      </c>
      <c r="U635" s="1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 s="1">
        <v>4194</v>
      </c>
      <c r="T636" s="3" t="str">
        <f t="shared" si="9"/>
        <v>Below Avg</v>
      </c>
      <c r="U636" s="1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 s="1">
        <v>10685</v>
      </c>
      <c r="T637" s="3" t="str">
        <f t="shared" si="9"/>
        <v>Above Avg</v>
      </c>
      <c r="U637" s="1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 s="1">
        <v>2022</v>
      </c>
      <c r="T638" s="3" t="str">
        <f t="shared" si="9"/>
        <v>Below Avg</v>
      </c>
      <c r="U638" s="1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 s="1">
        <v>2314</v>
      </c>
      <c r="T639" s="3" t="str">
        <f t="shared" si="9"/>
        <v>Below Avg</v>
      </c>
      <c r="U639" s="1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 s="1">
        <v>4256</v>
      </c>
      <c r="T640" s="3" t="str">
        <f t="shared" si="9"/>
        <v>Below Avg</v>
      </c>
      <c r="U640" s="1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 s="1">
        <v>3580</v>
      </c>
      <c r="T641" s="3" t="str">
        <f t="shared" si="9"/>
        <v>Below Avg</v>
      </c>
      <c r="U641" s="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 s="1">
        <v>3162</v>
      </c>
      <c r="T642" s="3" t="str">
        <f t="shared" ref="T642:T705" si="10">IF( S642 &lt; AVERAGE($S$2:$S$1471), "Below Avg", "Above Avg" )</f>
        <v>Below Avg</v>
      </c>
      <c r="U642" s="1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 s="1">
        <v>6524</v>
      </c>
      <c r="T643" s="3" t="str">
        <f t="shared" si="10"/>
        <v>Above Avg</v>
      </c>
      <c r="U643" s="1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 s="1">
        <v>2899</v>
      </c>
      <c r="T644" s="3" t="str">
        <f t="shared" si="10"/>
        <v>Below Avg</v>
      </c>
      <c r="U644" s="1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 s="1">
        <v>5231</v>
      </c>
      <c r="T645" s="3" t="str">
        <f t="shared" si="10"/>
        <v>Below Avg</v>
      </c>
      <c r="U645" s="1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 s="1">
        <v>2356</v>
      </c>
      <c r="T646" s="3" t="str">
        <f t="shared" si="10"/>
        <v>Below Avg</v>
      </c>
      <c r="U646" s="1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 s="1">
        <v>2800</v>
      </c>
      <c r="T647" s="3" t="str">
        <f t="shared" si="10"/>
        <v>Below Avg</v>
      </c>
      <c r="U647" s="1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 s="1">
        <v>11836</v>
      </c>
      <c r="T648" s="3" t="str">
        <f t="shared" si="10"/>
        <v>Above Avg</v>
      </c>
      <c r="U648" s="1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 s="1">
        <v>10903</v>
      </c>
      <c r="T649" s="3" t="str">
        <f t="shared" si="10"/>
        <v>Above Avg</v>
      </c>
      <c r="U649" s="1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 s="1">
        <v>2973</v>
      </c>
      <c r="T650" s="3" t="str">
        <f t="shared" si="10"/>
        <v>Below Avg</v>
      </c>
      <c r="U650" s="1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 s="1">
        <v>14275</v>
      </c>
      <c r="T651" s="3" t="str">
        <f t="shared" si="10"/>
        <v>Above Avg</v>
      </c>
      <c r="U651" s="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 s="1">
        <v>5562</v>
      </c>
      <c r="T652" s="3" t="str">
        <f t="shared" si="10"/>
        <v>Below Avg</v>
      </c>
      <c r="U652" s="1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 s="1">
        <v>4537</v>
      </c>
      <c r="T653" s="3" t="str">
        <f t="shared" si="10"/>
        <v>Below Avg</v>
      </c>
      <c r="U653" s="1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 s="1">
        <v>7642</v>
      </c>
      <c r="T654" s="3" t="str">
        <f t="shared" si="10"/>
        <v>Above Avg</v>
      </c>
      <c r="U654" s="1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 s="1">
        <v>17924</v>
      </c>
      <c r="T655" s="3" t="str">
        <f t="shared" si="10"/>
        <v>Above Avg</v>
      </c>
      <c r="U655" s="1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 s="1">
        <v>5204</v>
      </c>
      <c r="T656" s="3" t="str">
        <f t="shared" si="10"/>
        <v>Below Avg</v>
      </c>
      <c r="U656" s="1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 s="1">
        <v>2277</v>
      </c>
      <c r="T657" s="3" t="str">
        <f t="shared" si="10"/>
        <v>Below Avg</v>
      </c>
      <c r="U657" s="1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 s="1">
        <v>2795</v>
      </c>
      <c r="T658" s="3" t="str">
        <f t="shared" si="10"/>
        <v>Below Avg</v>
      </c>
      <c r="U658" s="1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 s="1">
        <v>2532</v>
      </c>
      <c r="T659" s="3" t="str">
        <f t="shared" si="10"/>
        <v>Below Avg</v>
      </c>
      <c r="U659" s="1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 s="1">
        <v>2559</v>
      </c>
      <c r="T660" s="3" t="str">
        <f t="shared" si="10"/>
        <v>Below Avg</v>
      </c>
      <c r="U660" s="1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 s="1">
        <v>4908</v>
      </c>
      <c r="T661" s="3" t="str">
        <f t="shared" si="10"/>
        <v>Below Avg</v>
      </c>
      <c r="U661" s="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 s="1">
        <v>2380</v>
      </c>
      <c r="T662" s="3" t="str">
        <f t="shared" si="10"/>
        <v>Below Avg</v>
      </c>
      <c r="U662" s="1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 s="1">
        <v>4765</v>
      </c>
      <c r="T663" s="3" t="str">
        <f t="shared" si="10"/>
        <v>Below Avg</v>
      </c>
      <c r="U663" s="1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 s="1">
        <v>2044</v>
      </c>
      <c r="T664" s="3" t="str">
        <f t="shared" si="10"/>
        <v>Below Avg</v>
      </c>
      <c r="U664" s="1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 s="1">
        <v>2693</v>
      </c>
      <c r="T665" s="3" t="str">
        <f t="shared" si="10"/>
        <v>Below Avg</v>
      </c>
      <c r="U665" s="1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 s="1">
        <v>6586</v>
      </c>
      <c r="T666" s="3" t="str">
        <f t="shared" si="10"/>
        <v>Above Avg</v>
      </c>
      <c r="U666" s="1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 s="1">
        <v>3294</v>
      </c>
      <c r="T667" s="3" t="str">
        <f t="shared" si="10"/>
        <v>Below Avg</v>
      </c>
      <c r="U667" s="1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 s="1">
        <v>4171</v>
      </c>
      <c r="T668" s="3" t="str">
        <f t="shared" si="10"/>
        <v>Below Avg</v>
      </c>
      <c r="U668" s="1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 s="1">
        <v>2778</v>
      </c>
      <c r="T669" s="3" t="str">
        <f t="shared" si="10"/>
        <v>Below Avg</v>
      </c>
      <c r="U669" s="1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 s="1">
        <v>2377</v>
      </c>
      <c r="T670" s="3" t="str">
        <f t="shared" si="10"/>
        <v>Below Avg</v>
      </c>
      <c r="U670" s="1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 s="1">
        <v>2404</v>
      </c>
      <c r="T671" s="3" t="str">
        <f t="shared" si="10"/>
        <v>Below Avg</v>
      </c>
      <c r="U671" s="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 s="1">
        <v>2318</v>
      </c>
      <c r="T672" s="3" t="str">
        <f t="shared" si="10"/>
        <v>Below Avg</v>
      </c>
      <c r="U672" s="1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 s="1">
        <v>2008</v>
      </c>
      <c r="T673" s="3" t="str">
        <f t="shared" si="10"/>
        <v>Below Avg</v>
      </c>
      <c r="U673" s="1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 s="1">
        <v>6244</v>
      </c>
      <c r="T674" s="3" t="str">
        <f t="shared" si="10"/>
        <v>Below Avg</v>
      </c>
      <c r="U674" s="1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 s="1">
        <v>2799</v>
      </c>
      <c r="T675" s="3" t="str">
        <f t="shared" si="10"/>
        <v>Below Avg</v>
      </c>
      <c r="U675" s="1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 s="1">
        <v>10552</v>
      </c>
      <c r="T676" s="3" t="str">
        <f t="shared" si="10"/>
        <v>Above Avg</v>
      </c>
      <c r="U676" s="1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 s="1">
        <v>2329</v>
      </c>
      <c r="T677" s="3" t="str">
        <f t="shared" si="10"/>
        <v>Below Avg</v>
      </c>
      <c r="U677" s="1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 s="1">
        <v>4014</v>
      </c>
      <c r="T678" s="3" t="str">
        <f t="shared" si="10"/>
        <v>Below Avg</v>
      </c>
      <c r="U678" s="1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 s="1">
        <v>7403</v>
      </c>
      <c r="T679" s="3" t="str">
        <f t="shared" si="10"/>
        <v>Above Avg</v>
      </c>
      <c r="U679" s="1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 s="1">
        <v>2259</v>
      </c>
      <c r="T680" s="3" t="str">
        <f t="shared" si="10"/>
        <v>Below Avg</v>
      </c>
      <c r="U680" s="1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 s="1">
        <v>6932</v>
      </c>
      <c r="T681" s="3" t="str">
        <f t="shared" si="10"/>
        <v>Above Avg</v>
      </c>
      <c r="U681" s="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 s="1">
        <v>4678</v>
      </c>
      <c r="T682" s="3" t="str">
        <f t="shared" si="10"/>
        <v>Below Avg</v>
      </c>
      <c r="U682" s="1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 s="1">
        <v>13582</v>
      </c>
      <c r="T683" s="3" t="str">
        <f t="shared" si="10"/>
        <v>Above Avg</v>
      </c>
      <c r="U683" s="1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 s="1">
        <v>2332</v>
      </c>
      <c r="T684" s="3" t="str">
        <f t="shared" si="10"/>
        <v>Below Avg</v>
      </c>
      <c r="U684" s="1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 s="1">
        <v>2413</v>
      </c>
      <c r="T685" s="3" t="str">
        <f t="shared" si="10"/>
        <v>Below Avg</v>
      </c>
      <c r="U685" s="1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 s="1">
        <v>9705</v>
      </c>
      <c r="T686" s="3" t="str">
        <f t="shared" si="10"/>
        <v>Above Avg</v>
      </c>
      <c r="U686" s="1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 s="1">
        <v>4294</v>
      </c>
      <c r="T687" s="3" t="str">
        <f t="shared" si="10"/>
        <v>Below Avg</v>
      </c>
      <c r="U687" s="1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 s="1">
        <v>4721</v>
      </c>
      <c r="T688" s="3" t="str">
        <f t="shared" si="10"/>
        <v>Below Avg</v>
      </c>
      <c r="U688" s="1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 s="1">
        <v>2519</v>
      </c>
      <c r="T689" s="3" t="str">
        <f t="shared" si="10"/>
        <v>Below Avg</v>
      </c>
      <c r="U689" s="1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 s="1">
        <v>2121</v>
      </c>
      <c r="T690" s="3" t="str">
        <f t="shared" si="10"/>
        <v>Below Avg</v>
      </c>
      <c r="U690" s="1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 s="1">
        <v>2973</v>
      </c>
      <c r="T691" s="3" t="str">
        <f t="shared" si="10"/>
        <v>Below Avg</v>
      </c>
      <c r="U691" s="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 s="1">
        <v>5855</v>
      </c>
      <c r="T692" s="3" t="str">
        <f t="shared" si="10"/>
        <v>Below Avg</v>
      </c>
      <c r="U692" s="1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 s="1">
        <v>3617</v>
      </c>
      <c r="T693" s="3" t="str">
        <f t="shared" si="10"/>
        <v>Below Avg</v>
      </c>
      <c r="U693" s="1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 s="1">
        <v>6725</v>
      </c>
      <c r="T694" s="3" t="str">
        <f t="shared" si="10"/>
        <v>Above Avg</v>
      </c>
      <c r="U694" s="1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 s="1">
        <v>10325</v>
      </c>
      <c r="T695" s="3" t="str">
        <f t="shared" si="10"/>
        <v>Above Avg</v>
      </c>
      <c r="U695" s="1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 s="1">
        <v>6949</v>
      </c>
      <c r="T696" s="3" t="str">
        <f t="shared" si="10"/>
        <v>Above Avg</v>
      </c>
      <c r="U696" s="1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 s="1">
        <v>10609</v>
      </c>
      <c r="T697" s="3" t="str">
        <f t="shared" si="10"/>
        <v>Above Avg</v>
      </c>
      <c r="U697" s="1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 s="1">
        <v>4447</v>
      </c>
      <c r="T698" s="3" t="str">
        <f t="shared" si="10"/>
        <v>Below Avg</v>
      </c>
      <c r="U698" s="1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 s="1">
        <v>2157</v>
      </c>
      <c r="T699" s="3" t="str">
        <f t="shared" si="10"/>
        <v>Below Avg</v>
      </c>
      <c r="U699" s="1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 s="1">
        <v>4601</v>
      </c>
      <c r="T700" s="3" t="str">
        <f t="shared" si="10"/>
        <v>Below Avg</v>
      </c>
      <c r="U700" s="1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 s="1">
        <v>17099</v>
      </c>
      <c r="T701" s="3" t="str">
        <f t="shared" si="10"/>
        <v>Above Avg</v>
      </c>
      <c r="U701" s="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 s="1">
        <v>2479</v>
      </c>
      <c r="T702" s="3" t="str">
        <f t="shared" si="10"/>
        <v>Below Avg</v>
      </c>
      <c r="U702" s="1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 s="1">
        <v>14852</v>
      </c>
      <c r="T703" s="3" t="str">
        <f t="shared" si="10"/>
        <v>Above Avg</v>
      </c>
      <c r="U703" s="1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 s="1">
        <v>7264</v>
      </c>
      <c r="T704" s="3" t="str">
        <f t="shared" si="10"/>
        <v>Above Avg</v>
      </c>
      <c r="U704" s="1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 s="1">
        <v>5666</v>
      </c>
      <c r="T705" s="3" t="str">
        <f t="shared" si="10"/>
        <v>Below Avg</v>
      </c>
      <c r="U705" s="1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 s="1">
        <v>7823</v>
      </c>
      <c r="T706" s="3" t="str">
        <f t="shared" ref="T706:T769" si="11">IF( S706 &lt; AVERAGE($S$2:$S$1471), "Below Avg", "Above Avg" )</f>
        <v>Above Avg</v>
      </c>
      <c r="U706" s="1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 s="1">
        <v>7880</v>
      </c>
      <c r="T707" s="3" t="str">
        <f t="shared" si="11"/>
        <v>Above Avg</v>
      </c>
      <c r="U707" s="1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 s="1">
        <v>13194</v>
      </c>
      <c r="T708" s="3" t="str">
        <f t="shared" si="11"/>
        <v>Above Avg</v>
      </c>
      <c r="U708" s="1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 s="1">
        <v>5067</v>
      </c>
      <c r="T709" s="3" t="str">
        <f t="shared" si="11"/>
        <v>Below Avg</v>
      </c>
      <c r="U709" s="1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 s="1">
        <v>5079</v>
      </c>
      <c r="T710" s="3" t="str">
        <f t="shared" si="11"/>
        <v>Below Avg</v>
      </c>
      <c r="U710" s="1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 s="1">
        <v>2321</v>
      </c>
      <c r="T711" s="3" t="str">
        <f t="shared" si="11"/>
        <v>Below Avg</v>
      </c>
      <c r="U711" s="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 s="1">
        <v>17444</v>
      </c>
      <c r="T712" s="3" t="str">
        <f t="shared" si="11"/>
        <v>Above Avg</v>
      </c>
      <c r="U712" s="1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 s="1">
        <v>2404</v>
      </c>
      <c r="T713" s="3" t="str">
        <f t="shared" si="11"/>
        <v>Below Avg</v>
      </c>
      <c r="U713" s="1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 s="1">
        <v>3452</v>
      </c>
      <c r="T714" s="3" t="str">
        <f t="shared" si="11"/>
        <v>Below Avg</v>
      </c>
      <c r="U714" s="1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 s="1">
        <v>2270</v>
      </c>
      <c r="T715" s="3" t="str">
        <f t="shared" si="11"/>
        <v>Below Avg</v>
      </c>
      <c r="U715" s="1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 s="1">
        <v>17399</v>
      </c>
      <c r="T716" s="3" t="str">
        <f t="shared" si="11"/>
        <v>Above Avg</v>
      </c>
      <c r="U716" s="1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 s="1">
        <v>5488</v>
      </c>
      <c r="T717" s="3" t="str">
        <f t="shared" si="11"/>
        <v>Below Avg</v>
      </c>
      <c r="U717" s="1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 s="1">
        <v>19419</v>
      </c>
      <c r="T718" s="3" t="str">
        <f t="shared" si="11"/>
        <v>Above Avg</v>
      </c>
      <c r="U718" s="1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 s="1">
        <v>2811</v>
      </c>
      <c r="T719" s="3" t="str">
        <f t="shared" si="11"/>
        <v>Below Avg</v>
      </c>
      <c r="U719" s="1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 s="1">
        <v>3633</v>
      </c>
      <c r="T720" s="3" t="str">
        <f t="shared" si="11"/>
        <v>Below Avg</v>
      </c>
      <c r="U720" s="1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 s="1">
        <v>4163</v>
      </c>
      <c r="T721" s="3" t="str">
        <f t="shared" si="11"/>
        <v>Below Avg</v>
      </c>
      <c r="U721" s="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 s="1">
        <v>2132</v>
      </c>
      <c r="T722" s="3" t="str">
        <f t="shared" si="11"/>
        <v>Below Avg</v>
      </c>
      <c r="U722" s="1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 s="1">
        <v>13973</v>
      </c>
      <c r="T723" s="3" t="str">
        <f t="shared" si="11"/>
        <v>Above Avg</v>
      </c>
      <c r="U723" s="1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 s="1">
        <v>2684</v>
      </c>
      <c r="T724" s="3" t="str">
        <f t="shared" si="11"/>
        <v>Below Avg</v>
      </c>
      <c r="U724" s="1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 s="1">
        <v>10845</v>
      </c>
      <c r="T725" s="3" t="str">
        <f t="shared" si="11"/>
        <v>Above Avg</v>
      </c>
      <c r="U725" s="1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 s="1">
        <v>4377</v>
      </c>
      <c r="T726" s="3" t="str">
        <f t="shared" si="11"/>
        <v>Below Avg</v>
      </c>
      <c r="U726" s="1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 s="1">
        <v>3743</v>
      </c>
      <c r="T727" s="3" t="str">
        <f t="shared" si="11"/>
        <v>Below Avg</v>
      </c>
      <c r="U727" s="1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 s="1">
        <v>4148</v>
      </c>
      <c r="T728" s="3" t="str">
        <f t="shared" si="11"/>
        <v>Below Avg</v>
      </c>
      <c r="U728" s="1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 s="1">
        <v>1051</v>
      </c>
      <c r="T729" s="3" t="str">
        <f t="shared" si="11"/>
        <v>Below Avg</v>
      </c>
      <c r="U729" s="1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 s="1">
        <v>10739</v>
      </c>
      <c r="T730" s="3" t="str">
        <f t="shared" si="11"/>
        <v>Above Avg</v>
      </c>
      <c r="U730" s="1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 s="1">
        <v>10388</v>
      </c>
      <c r="T731" s="3" t="str">
        <f t="shared" si="11"/>
        <v>Above Avg</v>
      </c>
      <c r="U731" s="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 s="1">
        <v>11416</v>
      </c>
      <c r="T732" s="3" t="str">
        <f t="shared" si="11"/>
        <v>Above Avg</v>
      </c>
      <c r="U732" s="1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 s="1">
        <v>2600</v>
      </c>
      <c r="T733" s="3" t="str">
        <f t="shared" si="11"/>
        <v>Below Avg</v>
      </c>
      <c r="U733" s="1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 s="1">
        <v>2422</v>
      </c>
      <c r="T734" s="3" t="str">
        <f t="shared" si="11"/>
        <v>Below Avg</v>
      </c>
      <c r="U734" s="1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 s="1">
        <v>5472</v>
      </c>
      <c r="T735" s="3" t="str">
        <f t="shared" si="11"/>
        <v>Below Avg</v>
      </c>
      <c r="U735" s="1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 s="1">
        <v>2451</v>
      </c>
      <c r="T736" s="3" t="str">
        <f t="shared" si="11"/>
        <v>Below Avg</v>
      </c>
      <c r="U736" s="1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 s="1">
        <v>4240</v>
      </c>
      <c r="T737" s="3" t="str">
        <f t="shared" si="11"/>
        <v>Below Avg</v>
      </c>
      <c r="U737" s="1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 s="1">
        <v>10999</v>
      </c>
      <c r="T738" s="3" t="str">
        <f t="shared" si="11"/>
        <v>Above Avg</v>
      </c>
      <c r="U738" s="1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 s="1">
        <v>5003</v>
      </c>
      <c r="T739" s="3" t="str">
        <f t="shared" si="11"/>
        <v>Below Avg</v>
      </c>
      <c r="U739" s="1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 s="1">
        <v>12742</v>
      </c>
      <c r="T740" s="3" t="str">
        <f t="shared" si="11"/>
        <v>Above Avg</v>
      </c>
      <c r="U740" s="1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 s="1">
        <v>4227</v>
      </c>
      <c r="T741" s="3" t="str">
        <f t="shared" si="11"/>
        <v>Below Avg</v>
      </c>
      <c r="U741" s="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 s="1">
        <v>3917</v>
      </c>
      <c r="T742" s="3" t="str">
        <f t="shared" si="11"/>
        <v>Below Avg</v>
      </c>
      <c r="U742" s="1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 s="1">
        <v>18303</v>
      </c>
      <c r="T743" s="3" t="str">
        <f t="shared" si="11"/>
        <v>Above Avg</v>
      </c>
      <c r="U743" s="1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 s="1">
        <v>2380</v>
      </c>
      <c r="T744" s="3" t="str">
        <f t="shared" si="11"/>
        <v>Below Avg</v>
      </c>
      <c r="U744" s="1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 s="1">
        <v>13726</v>
      </c>
      <c r="T745" s="3" t="str">
        <f t="shared" si="11"/>
        <v>Above Avg</v>
      </c>
      <c r="U745" s="1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 s="1">
        <v>4777</v>
      </c>
      <c r="T746" s="3" t="str">
        <f t="shared" si="11"/>
        <v>Below Avg</v>
      </c>
      <c r="U746" s="1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 s="1">
        <v>6385</v>
      </c>
      <c r="T747" s="3" t="str">
        <f t="shared" si="11"/>
        <v>Below Avg</v>
      </c>
      <c r="U747" s="1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 s="1">
        <v>19973</v>
      </c>
      <c r="T748" s="3" t="str">
        <f t="shared" si="11"/>
        <v>Above Avg</v>
      </c>
      <c r="U748" s="1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 s="1">
        <v>6861</v>
      </c>
      <c r="T749" s="3" t="str">
        <f t="shared" si="11"/>
        <v>Above Avg</v>
      </c>
      <c r="U749" s="1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 s="1">
        <v>4969</v>
      </c>
      <c r="T750" s="3" t="str">
        <f t="shared" si="11"/>
        <v>Below Avg</v>
      </c>
      <c r="U750" s="1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 s="1">
        <v>19845</v>
      </c>
      <c r="T751" s="3" t="str">
        <f t="shared" si="11"/>
        <v>Above Avg</v>
      </c>
      <c r="U751" s="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 s="1">
        <v>13320</v>
      </c>
      <c r="T752" s="3" t="str">
        <f t="shared" si="11"/>
        <v>Above Avg</v>
      </c>
      <c r="U752" s="1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 s="1">
        <v>6347</v>
      </c>
      <c r="T753" s="3" t="str">
        <f t="shared" si="11"/>
        <v>Below Avg</v>
      </c>
      <c r="U753" s="1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 s="1">
        <v>2743</v>
      </c>
      <c r="T754" s="3" t="str">
        <f t="shared" si="11"/>
        <v>Below Avg</v>
      </c>
      <c r="U754" s="1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 s="1">
        <v>10880</v>
      </c>
      <c r="T755" s="3" t="str">
        <f t="shared" si="11"/>
        <v>Above Avg</v>
      </c>
      <c r="U755" s="1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 s="1">
        <v>2342</v>
      </c>
      <c r="T756" s="3" t="str">
        <f t="shared" si="11"/>
        <v>Below Avg</v>
      </c>
      <c r="U756" s="1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 s="1">
        <v>17650</v>
      </c>
      <c r="T757" s="3" t="str">
        <f t="shared" si="11"/>
        <v>Above Avg</v>
      </c>
      <c r="U757" s="1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 s="1">
        <v>4025</v>
      </c>
      <c r="T758" s="3" t="str">
        <f t="shared" si="11"/>
        <v>Below Avg</v>
      </c>
      <c r="U758" s="1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 s="1">
        <v>9725</v>
      </c>
      <c r="T759" s="3" t="str">
        <f t="shared" si="11"/>
        <v>Above Avg</v>
      </c>
      <c r="U759" s="1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 s="1">
        <v>11904</v>
      </c>
      <c r="T760" s="3" t="str">
        <f t="shared" si="11"/>
        <v>Above Avg</v>
      </c>
      <c r="U760" s="1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 s="1">
        <v>2177</v>
      </c>
      <c r="T761" s="3" t="str">
        <f t="shared" si="11"/>
        <v>Below Avg</v>
      </c>
      <c r="U761" s="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 s="1">
        <v>7525</v>
      </c>
      <c r="T762" s="3" t="str">
        <f t="shared" si="11"/>
        <v>Above Avg</v>
      </c>
      <c r="U762" s="1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 s="1">
        <v>4834</v>
      </c>
      <c r="T763" s="3" t="str">
        <f t="shared" si="11"/>
        <v>Below Avg</v>
      </c>
      <c r="U763" s="1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 s="1">
        <v>2042</v>
      </c>
      <c r="T764" s="3" t="str">
        <f t="shared" si="11"/>
        <v>Below Avg</v>
      </c>
      <c r="U764" s="1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 s="1">
        <v>2220</v>
      </c>
      <c r="T765" s="3" t="str">
        <f t="shared" si="11"/>
        <v>Below Avg</v>
      </c>
      <c r="U765" s="1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 s="1">
        <v>1052</v>
      </c>
      <c r="T766" s="3" t="str">
        <f t="shared" si="11"/>
        <v>Below Avg</v>
      </c>
      <c r="U766" s="1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 s="1">
        <v>2821</v>
      </c>
      <c r="T767" s="3" t="str">
        <f t="shared" si="11"/>
        <v>Below Avg</v>
      </c>
      <c r="U767" s="1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 s="1">
        <v>19237</v>
      </c>
      <c r="T768" s="3" t="str">
        <f t="shared" si="11"/>
        <v>Above Avg</v>
      </c>
      <c r="U768" s="1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 s="1">
        <v>4107</v>
      </c>
      <c r="T769" s="3" t="str">
        <f t="shared" si="11"/>
        <v>Below Avg</v>
      </c>
      <c r="U769" s="1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 s="1">
        <v>8396</v>
      </c>
      <c r="T770" s="3" t="str">
        <f t="shared" ref="T770:T833" si="12">IF( S770 &lt; AVERAGE($S$2:$S$1471), "Below Avg", "Above Avg" )</f>
        <v>Above Avg</v>
      </c>
      <c r="U770" s="1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 s="1">
        <v>2007</v>
      </c>
      <c r="T771" s="3" t="str">
        <f t="shared" si="12"/>
        <v>Below Avg</v>
      </c>
      <c r="U771" s="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 s="1">
        <v>19627</v>
      </c>
      <c r="T772" s="3" t="str">
        <f t="shared" si="12"/>
        <v>Above Avg</v>
      </c>
      <c r="U772" s="1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 s="1">
        <v>10686</v>
      </c>
      <c r="T773" s="3" t="str">
        <f t="shared" si="12"/>
        <v>Above Avg</v>
      </c>
      <c r="U773" s="1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 s="1">
        <v>2942</v>
      </c>
      <c r="T774" s="3" t="str">
        <f t="shared" si="12"/>
        <v>Below Avg</v>
      </c>
      <c r="U774" s="1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 s="1">
        <v>8858</v>
      </c>
      <c r="T775" s="3" t="str">
        <f t="shared" si="12"/>
        <v>Above Avg</v>
      </c>
      <c r="U775" s="1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 s="1">
        <v>16756</v>
      </c>
      <c r="T776" s="3" t="str">
        <f t="shared" si="12"/>
        <v>Above Avg</v>
      </c>
      <c r="U776" s="1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 s="1">
        <v>10798</v>
      </c>
      <c r="T777" s="3" t="str">
        <f t="shared" si="12"/>
        <v>Above Avg</v>
      </c>
      <c r="U777" s="1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 s="1">
        <v>2323</v>
      </c>
      <c r="T778" s="3" t="str">
        <f t="shared" si="12"/>
        <v>Below Avg</v>
      </c>
      <c r="U778" s="1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 s="1">
        <v>1416</v>
      </c>
      <c r="T779" s="3" t="str">
        <f t="shared" si="12"/>
        <v>Below Avg</v>
      </c>
      <c r="U779" s="1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 s="1">
        <v>4615</v>
      </c>
      <c r="T780" s="3" t="str">
        <f t="shared" si="12"/>
        <v>Below Avg</v>
      </c>
      <c r="U780" s="1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 s="1">
        <v>2461</v>
      </c>
      <c r="T781" s="3" t="str">
        <f t="shared" si="12"/>
        <v>Below Avg</v>
      </c>
      <c r="U781" s="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 s="1">
        <v>8722</v>
      </c>
      <c r="T782" s="3" t="str">
        <f t="shared" si="12"/>
        <v>Above Avg</v>
      </c>
      <c r="U782" s="1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 s="1">
        <v>3955</v>
      </c>
      <c r="T783" s="3" t="str">
        <f t="shared" si="12"/>
        <v>Below Avg</v>
      </c>
      <c r="U783" s="1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 s="1">
        <v>9957</v>
      </c>
      <c r="T784" s="3" t="str">
        <f t="shared" si="12"/>
        <v>Above Avg</v>
      </c>
      <c r="U784" s="1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 s="1">
        <v>3376</v>
      </c>
      <c r="T785" s="3" t="str">
        <f t="shared" si="12"/>
        <v>Below Avg</v>
      </c>
      <c r="U785" s="1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 s="1">
        <v>8823</v>
      </c>
      <c r="T786" s="3" t="str">
        <f t="shared" si="12"/>
        <v>Above Avg</v>
      </c>
      <c r="U786" s="1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 s="1">
        <v>10322</v>
      </c>
      <c r="T787" s="3" t="str">
        <f t="shared" si="12"/>
        <v>Above Avg</v>
      </c>
      <c r="U787" s="1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 s="1">
        <v>4621</v>
      </c>
      <c r="T788" s="3" t="str">
        <f t="shared" si="12"/>
        <v>Below Avg</v>
      </c>
      <c r="U788" s="1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 s="1">
        <v>10976</v>
      </c>
      <c r="T789" s="3" t="str">
        <f t="shared" si="12"/>
        <v>Above Avg</v>
      </c>
      <c r="U789" s="1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 s="1">
        <v>3660</v>
      </c>
      <c r="T790" s="3" t="str">
        <f t="shared" si="12"/>
        <v>Below Avg</v>
      </c>
      <c r="U790" s="1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 s="1">
        <v>10482</v>
      </c>
      <c r="T791" s="3" t="str">
        <f t="shared" si="12"/>
        <v>Above Avg</v>
      </c>
      <c r="U791" s="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 s="1">
        <v>7119</v>
      </c>
      <c r="T792" s="3" t="str">
        <f t="shared" si="12"/>
        <v>Above Avg</v>
      </c>
      <c r="U792" s="1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 s="1">
        <v>9582</v>
      </c>
      <c r="T793" s="3" t="str">
        <f t="shared" si="12"/>
        <v>Above Avg</v>
      </c>
      <c r="U793" s="1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 s="1">
        <v>4508</v>
      </c>
      <c r="T794" s="3" t="str">
        <f t="shared" si="12"/>
        <v>Below Avg</v>
      </c>
      <c r="U794" s="1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 s="1">
        <v>2207</v>
      </c>
      <c r="T795" s="3" t="str">
        <f t="shared" si="12"/>
        <v>Below Avg</v>
      </c>
      <c r="U795" s="1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 s="1">
        <v>7756</v>
      </c>
      <c r="T796" s="3" t="str">
        <f t="shared" si="12"/>
        <v>Above Avg</v>
      </c>
      <c r="U796" s="1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 s="1">
        <v>6694</v>
      </c>
      <c r="T797" s="3" t="str">
        <f t="shared" si="12"/>
        <v>Above Avg</v>
      </c>
      <c r="U797" s="1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 s="1">
        <v>3691</v>
      </c>
      <c r="T798" s="3" t="str">
        <f t="shared" si="12"/>
        <v>Below Avg</v>
      </c>
      <c r="U798" s="1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 s="1">
        <v>2377</v>
      </c>
      <c r="T799" s="3" t="str">
        <f t="shared" si="12"/>
        <v>Below Avg</v>
      </c>
      <c r="U799" s="1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 s="1">
        <v>2313</v>
      </c>
      <c r="T800" s="3" t="str">
        <f t="shared" si="12"/>
        <v>Below Avg</v>
      </c>
      <c r="U800" s="1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 s="1">
        <v>17665</v>
      </c>
      <c r="T801" s="3" t="str">
        <f t="shared" si="12"/>
        <v>Above Avg</v>
      </c>
      <c r="U801" s="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 s="1">
        <v>2596</v>
      </c>
      <c r="T802" s="3" t="str">
        <f t="shared" si="12"/>
        <v>Below Avg</v>
      </c>
      <c r="U802" s="1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 s="1">
        <v>4728</v>
      </c>
      <c r="T803" s="3" t="str">
        <f t="shared" si="12"/>
        <v>Below Avg</v>
      </c>
      <c r="U803" s="1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 s="1">
        <v>4302</v>
      </c>
      <c r="T804" s="3" t="str">
        <f t="shared" si="12"/>
        <v>Below Avg</v>
      </c>
      <c r="U804" s="1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 s="1">
        <v>2979</v>
      </c>
      <c r="T805" s="3" t="str">
        <f t="shared" si="12"/>
        <v>Below Avg</v>
      </c>
      <c r="U805" s="1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 s="1">
        <v>16885</v>
      </c>
      <c r="T806" s="3" t="str">
        <f t="shared" si="12"/>
        <v>Above Avg</v>
      </c>
      <c r="U806" s="1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 s="1">
        <v>5593</v>
      </c>
      <c r="T807" s="3" t="str">
        <f t="shared" si="12"/>
        <v>Below Avg</v>
      </c>
      <c r="U807" s="1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 s="1">
        <v>10445</v>
      </c>
      <c r="T808" s="3" t="str">
        <f t="shared" si="12"/>
        <v>Above Avg</v>
      </c>
      <c r="U808" s="1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 s="1">
        <v>8740</v>
      </c>
      <c r="T809" s="3" t="str">
        <f t="shared" si="12"/>
        <v>Above Avg</v>
      </c>
      <c r="U809" s="1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 s="1">
        <v>2514</v>
      </c>
      <c r="T810" s="3" t="str">
        <f t="shared" si="12"/>
        <v>Below Avg</v>
      </c>
      <c r="U810" s="1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 s="1">
        <v>7655</v>
      </c>
      <c r="T811" s="3" t="str">
        <f t="shared" si="12"/>
        <v>Above Avg</v>
      </c>
      <c r="U811" s="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 s="1">
        <v>17465</v>
      </c>
      <c r="T812" s="3" t="str">
        <f t="shared" si="12"/>
        <v>Above Avg</v>
      </c>
      <c r="U812" s="1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 s="1">
        <v>7351</v>
      </c>
      <c r="T813" s="3" t="str">
        <f t="shared" si="12"/>
        <v>Above Avg</v>
      </c>
      <c r="U813" s="1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 s="1">
        <v>10820</v>
      </c>
      <c r="T814" s="3" t="str">
        <f t="shared" si="12"/>
        <v>Above Avg</v>
      </c>
      <c r="U814" s="1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 s="1">
        <v>12169</v>
      </c>
      <c r="T815" s="3" t="str">
        <f t="shared" si="12"/>
        <v>Above Avg</v>
      </c>
      <c r="U815" s="1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 s="1">
        <v>19626</v>
      </c>
      <c r="T816" s="3" t="str">
        <f t="shared" si="12"/>
        <v>Above Avg</v>
      </c>
      <c r="U816" s="1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 s="1">
        <v>2070</v>
      </c>
      <c r="T817" s="3" t="str">
        <f t="shared" si="12"/>
        <v>Below Avg</v>
      </c>
      <c r="U817" s="1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 s="1">
        <v>6782</v>
      </c>
      <c r="T818" s="3" t="str">
        <f t="shared" si="12"/>
        <v>Above Avg</v>
      </c>
      <c r="U818" s="1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 s="1">
        <v>7779</v>
      </c>
      <c r="T819" s="3" t="str">
        <f t="shared" si="12"/>
        <v>Above Avg</v>
      </c>
      <c r="U819" s="1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 s="1">
        <v>2791</v>
      </c>
      <c r="T820" s="3" t="str">
        <f t="shared" si="12"/>
        <v>Below Avg</v>
      </c>
      <c r="U820" s="1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 s="1">
        <v>3201</v>
      </c>
      <c r="T821" s="3" t="str">
        <f t="shared" si="12"/>
        <v>Below Avg</v>
      </c>
      <c r="U821" s="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 s="1">
        <v>4968</v>
      </c>
      <c r="T822" s="3" t="str">
        <f t="shared" si="12"/>
        <v>Below Avg</v>
      </c>
      <c r="U822" s="1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 s="1">
        <v>13120</v>
      </c>
      <c r="T823" s="3" t="str">
        <f t="shared" si="12"/>
        <v>Above Avg</v>
      </c>
      <c r="U823" s="1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 s="1">
        <v>4033</v>
      </c>
      <c r="T824" s="3" t="str">
        <f t="shared" si="12"/>
        <v>Below Avg</v>
      </c>
      <c r="U824" s="1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 s="1">
        <v>3291</v>
      </c>
      <c r="T825" s="3" t="str">
        <f t="shared" si="12"/>
        <v>Below Avg</v>
      </c>
      <c r="U825" s="1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 s="1">
        <v>4272</v>
      </c>
      <c r="T826" s="3" t="str">
        <f t="shared" si="12"/>
        <v>Below Avg</v>
      </c>
      <c r="U826" s="1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 s="1">
        <v>5056</v>
      </c>
      <c r="T827" s="3" t="str">
        <f t="shared" si="12"/>
        <v>Below Avg</v>
      </c>
      <c r="U827" s="1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 s="1">
        <v>2844</v>
      </c>
      <c r="T828" s="3" t="str">
        <f t="shared" si="12"/>
        <v>Below Avg</v>
      </c>
      <c r="U828" s="1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 s="1">
        <v>2703</v>
      </c>
      <c r="T829" s="3" t="str">
        <f t="shared" si="12"/>
        <v>Below Avg</v>
      </c>
      <c r="U829" s="1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 s="1">
        <v>1904</v>
      </c>
      <c r="T830" s="3" t="str">
        <f t="shared" si="12"/>
        <v>Below Avg</v>
      </c>
      <c r="U830" s="1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 s="1">
        <v>8224</v>
      </c>
      <c r="T831" s="3" t="str">
        <f t="shared" si="12"/>
        <v>Above Avg</v>
      </c>
      <c r="U831" s="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 s="1">
        <v>4766</v>
      </c>
      <c r="T832" s="3" t="str">
        <f t="shared" si="12"/>
        <v>Below Avg</v>
      </c>
      <c r="U832" s="1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 s="1">
        <v>2610</v>
      </c>
      <c r="T833" s="3" t="str">
        <f t="shared" si="12"/>
        <v>Below Avg</v>
      </c>
      <c r="U833" s="1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 s="1">
        <v>5731</v>
      </c>
      <c r="T834" s="3" t="str">
        <f t="shared" ref="T834:T897" si="13">IF( S834 &lt; AVERAGE($S$2:$S$1471), "Below Avg", "Above Avg" )</f>
        <v>Below Avg</v>
      </c>
      <c r="U834" s="1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 s="1">
        <v>2539</v>
      </c>
      <c r="T835" s="3" t="str">
        <f t="shared" si="13"/>
        <v>Below Avg</v>
      </c>
      <c r="U835" s="1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 s="1">
        <v>5714</v>
      </c>
      <c r="T836" s="3" t="str">
        <f t="shared" si="13"/>
        <v>Below Avg</v>
      </c>
      <c r="U836" s="1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 s="1">
        <v>4323</v>
      </c>
      <c r="T837" s="3" t="str">
        <f t="shared" si="13"/>
        <v>Below Avg</v>
      </c>
      <c r="U837" s="1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 s="1">
        <v>7336</v>
      </c>
      <c r="T838" s="3" t="str">
        <f t="shared" si="13"/>
        <v>Above Avg</v>
      </c>
      <c r="U838" s="1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 s="1">
        <v>13499</v>
      </c>
      <c r="T839" s="3" t="str">
        <f t="shared" si="13"/>
        <v>Above Avg</v>
      </c>
      <c r="U839" s="1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 s="1">
        <v>13758</v>
      </c>
      <c r="T840" s="3" t="str">
        <f t="shared" si="13"/>
        <v>Above Avg</v>
      </c>
      <c r="U840" s="1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 s="1">
        <v>5155</v>
      </c>
      <c r="T841" s="3" t="str">
        <f t="shared" si="13"/>
        <v>Below Avg</v>
      </c>
      <c r="U841" s="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 s="1">
        <v>2258</v>
      </c>
      <c r="T842" s="3" t="str">
        <f t="shared" si="13"/>
        <v>Below Avg</v>
      </c>
      <c r="U842" s="1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 s="1">
        <v>3597</v>
      </c>
      <c r="T843" s="3" t="str">
        <f t="shared" si="13"/>
        <v>Below Avg</v>
      </c>
      <c r="U843" s="1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 s="1">
        <v>2515</v>
      </c>
      <c r="T844" s="3" t="str">
        <f t="shared" si="13"/>
        <v>Below Avg</v>
      </c>
      <c r="U844" s="1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 s="1">
        <v>4420</v>
      </c>
      <c r="T845" s="3" t="str">
        <f t="shared" si="13"/>
        <v>Below Avg</v>
      </c>
      <c r="U845" s="1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 s="1">
        <v>6578</v>
      </c>
      <c r="T846" s="3" t="str">
        <f t="shared" si="13"/>
        <v>Above Avg</v>
      </c>
      <c r="U846" s="1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 s="1">
        <v>4422</v>
      </c>
      <c r="T847" s="3" t="str">
        <f t="shared" si="13"/>
        <v>Below Avg</v>
      </c>
      <c r="U847" s="1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 s="1">
        <v>10274</v>
      </c>
      <c r="T848" s="3" t="str">
        <f t="shared" si="13"/>
        <v>Above Avg</v>
      </c>
      <c r="U848" s="1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 s="1">
        <v>5343</v>
      </c>
      <c r="T849" s="3" t="str">
        <f t="shared" si="13"/>
        <v>Below Avg</v>
      </c>
      <c r="U849" s="1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 s="1">
        <v>2376</v>
      </c>
      <c r="T850" s="3" t="str">
        <f t="shared" si="13"/>
        <v>Below Avg</v>
      </c>
      <c r="U850" s="1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 s="1">
        <v>5346</v>
      </c>
      <c r="T851" s="3" t="str">
        <f t="shared" si="13"/>
        <v>Below Avg</v>
      </c>
      <c r="U851" s="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 s="1">
        <v>2827</v>
      </c>
      <c r="T852" s="3" t="str">
        <f t="shared" si="13"/>
        <v>Below Avg</v>
      </c>
      <c r="U852" s="1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 s="1">
        <v>19943</v>
      </c>
      <c r="T853" s="3" t="str">
        <f t="shared" si="13"/>
        <v>Above Avg</v>
      </c>
      <c r="U853" s="1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 s="1">
        <v>3131</v>
      </c>
      <c r="T854" s="3" t="str">
        <f t="shared" si="13"/>
        <v>Below Avg</v>
      </c>
      <c r="U854" s="1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 s="1">
        <v>2552</v>
      </c>
      <c r="T855" s="3" t="str">
        <f t="shared" si="13"/>
        <v>Below Avg</v>
      </c>
      <c r="U855" s="1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 s="1">
        <v>4477</v>
      </c>
      <c r="T856" s="3" t="str">
        <f t="shared" si="13"/>
        <v>Below Avg</v>
      </c>
      <c r="U856" s="1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 s="1">
        <v>6474</v>
      </c>
      <c r="T857" s="3" t="str">
        <f t="shared" si="13"/>
        <v>Below Avg</v>
      </c>
      <c r="U857" s="1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 s="1">
        <v>3033</v>
      </c>
      <c r="T858" s="3" t="str">
        <f t="shared" si="13"/>
        <v>Below Avg</v>
      </c>
      <c r="U858" s="1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 s="1">
        <v>2936</v>
      </c>
      <c r="T859" s="3" t="str">
        <f t="shared" si="13"/>
        <v>Below Avg</v>
      </c>
      <c r="U859" s="1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 s="1">
        <v>18606</v>
      </c>
      <c r="T860" s="3" t="str">
        <f t="shared" si="13"/>
        <v>Above Avg</v>
      </c>
      <c r="U860" s="1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 s="1">
        <v>2168</v>
      </c>
      <c r="T861" s="3" t="str">
        <f t="shared" si="13"/>
        <v>Below Avg</v>
      </c>
      <c r="U861" s="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 s="1">
        <v>2853</v>
      </c>
      <c r="T862" s="3" t="str">
        <f t="shared" si="13"/>
        <v>Below Avg</v>
      </c>
      <c r="U862" s="1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 s="1">
        <v>17048</v>
      </c>
      <c r="T863" s="3" t="str">
        <f t="shared" si="13"/>
        <v>Above Avg</v>
      </c>
      <c r="U863" s="1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 s="1">
        <v>2290</v>
      </c>
      <c r="T864" s="3" t="str">
        <f t="shared" si="13"/>
        <v>Below Avg</v>
      </c>
      <c r="U864" s="1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 s="1">
        <v>3600</v>
      </c>
      <c r="T865" s="3" t="str">
        <f t="shared" si="13"/>
        <v>Below Avg</v>
      </c>
      <c r="U865" s="1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 s="1">
        <v>2107</v>
      </c>
      <c r="T866" s="3" t="str">
        <f t="shared" si="13"/>
        <v>Below Avg</v>
      </c>
      <c r="U866" s="1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 s="1">
        <v>4115</v>
      </c>
      <c r="T867" s="3" t="str">
        <f t="shared" si="13"/>
        <v>Below Avg</v>
      </c>
      <c r="U867" s="1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 s="1">
        <v>4327</v>
      </c>
      <c r="T868" s="3" t="str">
        <f t="shared" si="13"/>
        <v>Below Avg</v>
      </c>
      <c r="U868" s="1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 s="1">
        <v>17856</v>
      </c>
      <c r="T869" s="3" t="str">
        <f t="shared" si="13"/>
        <v>Above Avg</v>
      </c>
      <c r="U869" s="1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 s="1">
        <v>3196</v>
      </c>
      <c r="T870" s="3" t="str">
        <f t="shared" si="13"/>
        <v>Below Avg</v>
      </c>
      <c r="U870" s="1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 s="1">
        <v>19081</v>
      </c>
      <c r="T871" s="3" t="str">
        <f t="shared" si="13"/>
        <v>Above Avg</v>
      </c>
      <c r="U871" s="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 s="1">
        <v>8966</v>
      </c>
      <c r="T872" s="3" t="str">
        <f t="shared" si="13"/>
        <v>Above Avg</v>
      </c>
      <c r="U872" s="1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 s="1">
        <v>2210</v>
      </c>
      <c r="T873" s="3" t="str">
        <f t="shared" si="13"/>
        <v>Below Avg</v>
      </c>
      <c r="U873" s="1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 s="1">
        <v>4539</v>
      </c>
      <c r="T874" s="3" t="str">
        <f t="shared" si="13"/>
        <v>Below Avg</v>
      </c>
      <c r="U874" s="1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 s="1">
        <v>2741</v>
      </c>
      <c r="T875" s="3" t="str">
        <f t="shared" si="13"/>
        <v>Below Avg</v>
      </c>
      <c r="U875" s="1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 s="1">
        <v>3491</v>
      </c>
      <c r="T876" s="3" t="str">
        <f t="shared" si="13"/>
        <v>Below Avg</v>
      </c>
      <c r="U876" s="1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 s="1">
        <v>4541</v>
      </c>
      <c r="T877" s="3" t="str">
        <f t="shared" si="13"/>
        <v>Below Avg</v>
      </c>
      <c r="U877" s="1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 s="1">
        <v>2678</v>
      </c>
      <c r="T878" s="3" t="str">
        <f t="shared" si="13"/>
        <v>Below Avg</v>
      </c>
      <c r="U878" s="1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 s="1">
        <v>7379</v>
      </c>
      <c r="T879" s="3" t="str">
        <f t="shared" si="13"/>
        <v>Above Avg</v>
      </c>
      <c r="U879" s="1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 s="1">
        <v>6272</v>
      </c>
      <c r="T880" s="3" t="str">
        <f t="shared" si="13"/>
        <v>Below Avg</v>
      </c>
      <c r="U880" s="1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 s="1">
        <v>5220</v>
      </c>
      <c r="T881" s="3" t="str">
        <f t="shared" si="13"/>
        <v>Below Avg</v>
      </c>
      <c r="U881" s="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 s="1">
        <v>2743</v>
      </c>
      <c r="T882" s="3" t="str">
        <f t="shared" si="13"/>
        <v>Below Avg</v>
      </c>
      <c r="U882" s="1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 s="1">
        <v>4998</v>
      </c>
      <c r="T883" s="3" t="str">
        <f t="shared" si="13"/>
        <v>Below Avg</v>
      </c>
      <c r="U883" s="1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 s="1">
        <v>10252</v>
      </c>
      <c r="T884" s="3" t="str">
        <f t="shared" si="13"/>
        <v>Above Avg</v>
      </c>
      <c r="U884" s="1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 s="1">
        <v>2781</v>
      </c>
      <c r="T885" s="3" t="str">
        <f t="shared" si="13"/>
        <v>Below Avg</v>
      </c>
      <c r="U885" s="1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 s="1">
        <v>6852</v>
      </c>
      <c r="T886" s="3" t="str">
        <f t="shared" si="13"/>
        <v>Above Avg</v>
      </c>
      <c r="U886" s="1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 s="1">
        <v>4950</v>
      </c>
      <c r="T887" s="3" t="str">
        <f t="shared" si="13"/>
        <v>Below Avg</v>
      </c>
      <c r="U887" s="1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 s="1">
        <v>3579</v>
      </c>
      <c r="T888" s="3" t="str">
        <f t="shared" si="13"/>
        <v>Below Avg</v>
      </c>
      <c r="U888" s="1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 s="1">
        <v>13191</v>
      </c>
      <c r="T889" s="3" t="str">
        <f t="shared" si="13"/>
        <v>Above Avg</v>
      </c>
      <c r="U889" s="1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 s="1">
        <v>10377</v>
      </c>
      <c r="T890" s="3" t="str">
        <f t="shared" si="13"/>
        <v>Above Avg</v>
      </c>
      <c r="U890" s="1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 s="1">
        <v>2235</v>
      </c>
      <c r="T891" s="3" t="str">
        <f t="shared" si="13"/>
        <v>Below Avg</v>
      </c>
      <c r="U891" s="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 s="1">
        <v>10502</v>
      </c>
      <c r="T892" s="3" t="str">
        <f t="shared" si="13"/>
        <v>Above Avg</v>
      </c>
      <c r="U892" s="1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 s="1">
        <v>2011</v>
      </c>
      <c r="T893" s="3" t="str">
        <f t="shared" si="13"/>
        <v>Below Avg</v>
      </c>
      <c r="U893" s="1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 s="1">
        <v>1859</v>
      </c>
      <c r="T894" s="3" t="str">
        <f t="shared" si="13"/>
        <v>Below Avg</v>
      </c>
      <c r="U894" s="1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 s="1">
        <v>3760</v>
      </c>
      <c r="T895" s="3" t="str">
        <f t="shared" si="13"/>
        <v>Below Avg</v>
      </c>
      <c r="U895" s="1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 s="1">
        <v>17779</v>
      </c>
      <c r="T896" s="3" t="str">
        <f t="shared" si="13"/>
        <v>Above Avg</v>
      </c>
      <c r="U896" s="1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 s="1">
        <v>6833</v>
      </c>
      <c r="T897" s="3" t="str">
        <f t="shared" si="13"/>
        <v>Above Avg</v>
      </c>
      <c r="U897" s="1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 s="1">
        <v>6812</v>
      </c>
      <c r="T898" s="3" t="str">
        <f t="shared" ref="T898:T961" si="14">IF( S898 &lt; AVERAGE($S$2:$S$1471), "Below Avg", "Above Avg" )</f>
        <v>Above Avg</v>
      </c>
      <c r="U898" s="1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 s="1">
        <v>5171</v>
      </c>
      <c r="T899" s="3" t="str">
        <f t="shared" si="14"/>
        <v>Below Avg</v>
      </c>
      <c r="U899" s="1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 s="1">
        <v>19740</v>
      </c>
      <c r="T900" s="3" t="str">
        <f t="shared" si="14"/>
        <v>Above Avg</v>
      </c>
      <c r="U900" s="1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 s="1">
        <v>18711</v>
      </c>
      <c r="T901" s="3" t="str">
        <f t="shared" si="14"/>
        <v>Above Avg</v>
      </c>
      <c r="U901" s="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 s="1">
        <v>3692</v>
      </c>
      <c r="T902" s="3" t="str">
        <f t="shared" si="14"/>
        <v>Below Avg</v>
      </c>
      <c r="U902" s="1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 s="1">
        <v>2559</v>
      </c>
      <c r="T903" s="3" t="str">
        <f t="shared" si="14"/>
        <v>Below Avg</v>
      </c>
      <c r="U903" s="1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 s="1">
        <v>2517</v>
      </c>
      <c r="T904" s="3" t="str">
        <f t="shared" si="14"/>
        <v>Below Avg</v>
      </c>
      <c r="U904" s="1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 s="1">
        <v>6623</v>
      </c>
      <c r="T905" s="3" t="str">
        <f t="shared" si="14"/>
        <v>Above Avg</v>
      </c>
      <c r="U905" s="1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 s="1">
        <v>18265</v>
      </c>
      <c r="T906" s="3" t="str">
        <f t="shared" si="14"/>
        <v>Above Avg</v>
      </c>
      <c r="U906" s="1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 s="1">
        <v>16124</v>
      </c>
      <c r="T907" s="3" t="str">
        <f t="shared" si="14"/>
        <v>Above Avg</v>
      </c>
      <c r="U907" s="1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 s="1">
        <v>2585</v>
      </c>
      <c r="T908" s="3" t="str">
        <f t="shared" si="14"/>
        <v>Below Avg</v>
      </c>
      <c r="U908" s="1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 s="1">
        <v>18213</v>
      </c>
      <c r="T909" s="3" t="str">
        <f t="shared" si="14"/>
        <v>Above Avg</v>
      </c>
      <c r="U909" s="1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 s="1">
        <v>8380</v>
      </c>
      <c r="T910" s="3" t="str">
        <f t="shared" si="14"/>
        <v>Above Avg</v>
      </c>
      <c r="U910" s="1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 s="1">
        <v>2994</v>
      </c>
      <c r="T911" s="3" t="str">
        <f t="shared" si="14"/>
        <v>Below Avg</v>
      </c>
      <c r="U911" s="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 s="1">
        <v>1223</v>
      </c>
      <c r="T912" s="3" t="str">
        <f t="shared" si="14"/>
        <v>Below Avg</v>
      </c>
      <c r="U912" s="1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 s="1">
        <v>1118</v>
      </c>
      <c r="T913" s="3" t="str">
        <f t="shared" si="14"/>
        <v>Below Avg</v>
      </c>
      <c r="U913" s="1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 s="1">
        <v>2875</v>
      </c>
      <c r="T914" s="3" t="str">
        <f t="shared" si="14"/>
        <v>Below Avg</v>
      </c>
      <c r="U914" s="1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 s="1">
        <v>18824</v>
      </c>
      <c r="T915" s="3" t="str">
        <f t="shared" si="14"/>
        <v>Above Avg</v>
      </c>
      <c r="U915" s="1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 s="1">
        <v>13577</v>
      </c>
      <c r="T916" s="3" t="str">
        <f t="shared" si="14"/>
        <v>Above Avg</v>
      </c>
      <c r="U916" s="1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 s="1">
        <v>2625</v>
      </c>
      <c r="T917" s="3" t="str">
        <f t="shared" si="14"/>
        <v>Below Avg</v>
      </c>
      <c r="U917" s="1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 s="1">
        <v>18789</v>
      </c>
      <c r="T918" s="3" t="str">
        <f t="shared" si="14"/>
        <v>Above Avg</v>
      </c>
      <c r="U918" s="1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 s="1">
        <v>4538</v>
      </c>
      <c r="T919" s="3" t="str">
        <f t="shared" si="14"/>
        <v>Below Avg</v>
      </c>
      <c r="U919" s="1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 s="1">
        <v>19847</v>
      </c>
      <c r="T920" s="3" t="str">
        <f t="shared" si="14"/>
        <v>Above Avg</v>
      </c>
      <c r="U920" s="1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 s="1">
        <v>10512</v>
      </c>
      <c r="T921" s="3" t="str">
        <f t="shared" si="14"/>
        <v>Above Avg</v>
      </c>
      <c r="U921" s="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 s="1">
        <v>4444</v>
      </c>
      <c r="T922" s="3" t="str">
        <f t="shared" si="14"/>
        <v>Below Avg</v>
      </c>
      <c r="U922" s="1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 s="1">
        <v>2154</v>
      </c>
      <c r="T923" s="3" t="str">
        <f t="shared" si="14"/>
        <v>Below Avg</v>
      </c>
      <c r="U923" s="1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 s="1">
        <v>19190</v>
      </c>
      <c r="T924" s="3" t="str">
        <f t="shared" si="14"/>
        <v>Above Avg</v>
      </c>
      <c r="U924" s="1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 s="1">
        <v>4490</v>
      </c>
      <c r="T925" s="3" t="str">
        <f t="shared" si="14"/>
        <v>Below Avg</v>
      </c>
      <c r="U925" s="1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 s="1">
        <v>3506</v>
      </c>
      <c r="T926" s="3" t="str">
        <f t="shared" si="14"/>
        <v>Below Avg</v>
      </c>
      <c r="U926" s="1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 s="1">
        <v>2372</v>
      </c>
      <c r="T927" s="3" t="str">
        <f t="shared" si="14"/>
        <v>Below Avg</v>
      </c>
      <c r="U927" s="1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 s="1">
        <v>10231</v>
      </c>
      <c r="T928" s="3" t="str">
        <f t="shared" si="14"/>
        <v>Above Avg</v>
      </c>
      <c r="U928" s="1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 s="1">
        <v>5410</v>
      </c>
      <c r="T929" s="3" t="str">
        <f t="shared" si="14"/>
        <v>Below Avg</v>
      </c>
      <c r="U929" s="1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 s="1">
        <v>7978</v>
      </c>
      <c r="T930" s="3" t="str">
        <f t="shared" si="14"/>
        <v>Above Avg</v>
      </c>
      <c r="U930" s="1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 s="1">
        <v>3867</v>
      </c>
      <c r="T931" s="3" t="str">
        <f t="shared" si="14"/>
        <v>Below Avg</v>
      </c>
      <c r="U931" s="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 s="1">
        <v>2838</v>
      </c>
      <c r="T932" s="3" t="str">
        <f t="shared" si="14"/>
        <v>Below Avg</v>
      </c>
      <c r="U932" s="1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 s="1">
        <v>4695</v>
      </c>
      <c r="T933" s="3" t="str">
        <f t="shared" si="14"/>
        <v>Below Avg</v>
      </c>
      <c r="U933" s="1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 s="1">
        <v>3339</v>
      </c>
      <c r="T934" s="3" t="str">
        <f t="shared" si="14"/>
        <v>Below Avg</v>
      </c>
      <c r="U934" s="1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 s="1">
        <v>2080</v>
      </c>
      <c r="T935" s="3" t="str">
        <f t="shared" si="14"/>
        <v>Below Avg</v>
      </c>
      <c r="U935" s="1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 s="1">
        <v>2096</v>
      </c>
      <c r="T936" s="3" t="str">
        <f t="shared" si="14"/>
        <v>Below Avg</v>
      </c>
      <c r="U936" s="1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 s="1">
        <v>6209</v>
      </c>
      <c r="T937" s="3" t="str">
        <f t="shared" si="14"/>
        <v>Below Avg</v>
      </c>
      <c r="U937" s="1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 s="1">
        <v>18061</v>
      </c>
      <c r="T938" s="3" t="str">
        <f t="shared" si="14"/>
        <v>Above Avg</v>
      </c>
      <c r="U938" s="1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 s="1">
        <v>17123</v>
      </c>
      <c r="T939" s="3" t="str">
        <f t="shared" si="14"/>
        <v>Above Avg</v>
      </c>
      <c r="U939" s="1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 s="1">
        <v>2372</v>
      </c>
      <c r="T940" s="3" t="str">
        <f t="shared" si="14"/>
        <v>Below Avg</v>
      </c>
      <c r="U940" s="1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 s="1">
        <v>4883</v>
      </c>
      <c r="T941" s="3" t="str">
        <f t="shared" si="14"/>
        <v>Below Avg</v>
      </c>
      <c r="U941" s="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 s="1">
        <v>3904</v>
      </c>
      <c r="T942" s="3" t="str">
        <f t="shared" si="14"/>
        <v>Below Avg</v>
      </c>
      <c r="U942" s="1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 s="1">
        <v>4627</v>
      </c>
      <c r="T943" s="3" t="str">
        <f t="shared" si="14"/>
        <v>Below Avg</v>
      </c>
      <c r="U943" s="1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 s="1">
        <v>7094</v>
      </c>
      <c r="T944" s="3" t="str">
        <f t="shared" si="14"/>
        <v>Above Avg</v>
      </c>
      <c r="U944" s="1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 s="1">
        <v>3423</v>
      </c>
      <c r="T945" s="3" t="str">
        <f t="shared" si="14"/>
        <v>Below Avg</v>
      </c>
      <c r="U945" s="1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 s="1">
        <v>6674</v>
      </c>
      <c r="T946" s="3" t="str">
        <f t="shared" si="14"/>
        <v>Above Avg</v>
      </c>
      <c r="U946" s="1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 s="1">
        <v>16880</v>
      </c>
      <c r="T947" s="3" t="str">
        <f t="shared" si="14"/>
        <v>Above Avg</v>
      </c>
      <c r="U947" s="1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 s="1">
        <v>9094</v>
      </c>
      <c r="T948" s="3" t="str">
        <f t="shared" si="14"/>
        <v>Above Avg</v>
      </c>
      <c r="U948" s="1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 s="1">
        <v>8446</v>
      </c>
      <c r="T949" s="3" t="str">
        <f t="shared" si="14"/>
        <v>Above Avg</v>
      </c>
      <c r="U949" s="1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 s="1">
        <v>11916</v>
      </c>
      <c r="T950" s="3" t="str">
        <f t="shared" si="14"/>
        <v>Above Avg</v>
      </c>
      <c r="U950" s="1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 s="1">
        <v>4534</v>
      </c>
      <c r="T951" s="3" t="str">
        <f t="shared" si="14"/>
        <v>Below Avg</v>
      </c>
      <c r="U951" s="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 s="1">
        <v>9852</v>
      </c>
      <c r="T952" s="3" t="str">
        <f t="shared" si="14"/>
        <v>Above Avg</v>
      </c>
      <c r="U952" s="1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 s="1">
        <v>6151</v>
      </c>
      <c r="T953" s="3" t="str">
        <f t="shared" si="14"/>
        <v>Below Avg</v>
      </c>
      <c r="U953" s="1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 s="1">
        <v>2302</v>
      </c>
      <c r="T954" s="3" t="str">
        <f t="shared" si="14"/>
        <v>Below Avg</v>
      </c>
      <c r="U954" s="1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 s="1">
        <v>2362</v>
      </c>
      <c r="T955" s="3" t="str">
        <f t="shared" si="14"/>
        <v>Below Avg</v>
      </c>
      <c r="U955" s="1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 s="1">
        <v>17861</v>
      </c>
      <c r="T956" s="3" t="str">
        <f t="shared" si="14"/>
        <v>Above Avg</v>
      </c>
      <c r="U956" s="1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 s="1">
        <v>19187</v>
      </c>
      <c r="T957" s="3" t="str">
        <f t="shared" si="14"/>
        <v>Above Avg</v>
      </c>
      <c r="U957" s="1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 s="1">
        <v>19717</v>
      </c>
      <c r="T958" s="3" t="str">
        <f t="shared" si="14"/>
        <v>Above Avg</v>
      </c>
      <c r="U958" s="1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 s="1">
        <v>3544</v>
      </c>
      <c r="T959" s="3" t="str">
        <f t="shared" si="14"/>
        <v>Below Avg</v>
      </c>
      <c r="U959" s="1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 s="1">
        <v>8500</v>
      </c>
      <c r="T960" s="3" t="str">
        <f t="shared" si="14"/>
        <v>Above Avg</v>
      </c>
      <c r="U960" s="1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 s="1">
        <v>4661</v>
      </c>
      <c r="T961" s="3" t="str">
        <f t="shared" si="14"/>
        <v>Below Avg</v>
      </c>
      <c r="U961" s="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 s="1">
        <v>4103</v>
      </c>
      <c r="T962" s="3" t="str">
        <f t="shared" ref="T962:T1025" si="15">IF( S962 &lt; AVERAGE($S$2:$S$1471), "Below Avg", "Above Avg" )</f>
        <v>Below Avg</v>
      </c>
      <c r="U962" s="1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 s="1">
        <v>4249</v>
      </c>
      <c r="T963" s="3" t="str">
        <f t="shared" si="15"/>
        <v>Below Avg</v>
      </c>
      <c r="U963" s="1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 s="1">
        <v>14026</v>
      </c>
      <c r="T964" s="3" t="str">
        <f t="shared" si="15"/>
        <v>Above Avg</v>
      </c>
      <c r="U964" s="1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 s="1">
        <v>6893</v>
      </c>
      <c r="T965" s="3" t="str">
        <f t="shared" si="15"/>
        <v>Above Avg</v>
      </c>
      <c r="U965" s="1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 s="1">
        <v>6125</v>
      </c>
      <c r="T966" s="3" t="str">
        <f t="shared" si="15"/>
        <v>Below Avg</v>
      </c>
      <c r="U966" s="1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 s="1">
        <v>3669</v>
      </c>
      <c r="T967" s="3" t="str">
        <f t="shared" si="15"/>
        <v>Below Avg</v>
      </c>
      <c r="U967" s="1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 s="1">
        <v>10008</v>
      </c>
      <c r="T968" s="3" t="str">
        <f t="shared" si="15"/>
        <v>Above Avg</v>
      </c>
      <c r="U968" s="1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 s="1">
        <v>2387</v>
      </c>
      <c r="T969" s="3" t="str">
        <f t="shared" si="15"/>
        <v>Below Avg</v>
      </c>
      <c r="U969" s="1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 s="1">
        <v>4639</v>
      </c>
      <c r="T970" s="3" t="str">
        <f t="shared" si="15"/>
        <v>Below Avg</v>
      </c>
      <c r="U970" s="1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 s="1">
        <v>7898</v>
      </c>
      <c r="T971" s="3" t="str">
        <f t="shared" si="15"/>
        <v>Above Avg</v>
      </c>
      <c r="U971" s="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 s="1">
        <v>2534</v>
      </c>
      <c r="T972" s="3" t="str">
        <f t="shared" si="15"/>
        <v>Below Avg</v>
      </c>
      <c r="U972" s="1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 s="1">
        <v>13142</v>
      </c>
      <c r="T973" s="3" t="str">
        <f t="shared" si="15"/>
        <v>Above Avg</v>
      </c>
      <c r="U973" s="1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 s="1">
        <v>1611</v>
      </c>
      <c r="T974" s="3" t="str">
        <f t="shared" si="15"/>
        <v>Below Avg</v>
      </c>
      <c r="U974" s="1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 s="1">
        <v>5363</v>
      </c>
      <c r="T975" s="3" t="str">
        <f t="shared" si="15"/>
        <v>Below Avg</v>
      </c>
      <c r="U975" s="1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 s="1">
        <v>5071</v>
      </c>
      <c r="T976" s="3" t="str">
        <f t="shared" si="15"/>
        <v>Below Avg</v>
      </c>
      <c r="U976" s="1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 s="1">
        <v>13695</v>
      </c>
      <c r="T977" s="3" t="str">
        <f t="shared" si="15"/>
        <v>Above Avg</v>
      </c>
      <c r="U977" s="1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 s="1">
        <v>13402</v>
      </c>
      <c r="T978" s="3" t="str">
        <f t="shared" si="15"/>
        <v>Above Avg</v>
      </c>
      <c r="U978" s="1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 s="1">
        <v>2029</v>
      </c>
      <c r="T979" s="3" t="str">
        <f t="shared" si="15"/>
        <v>Below Avg</v>
      </c>
      <c r="U979" s="1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 s="1">
        <v>6377</v>
      </c>
      <c r="T980" s="3" t="str">
        <f t="shared" si="15"/>
        <v>Below Avg</v>
      </c>
      <c r="U980" s="1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 s="1">
        <v>5429</v>
      </c>
      <c r="T981" s="3" t="str">
        <f t="shared" si="15"/>
        <v>Below Avg</v>
      </c>
      <c r="U981" s="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 s="1">
        <v>2785</v>
      </c>
      <c r="T982" s="3" t="str">
        <f t="shared" si="15"/>
        <v>Below Avg</v>
      </c>
      <c r="U982" s="1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 s="1">
        <v>4614</v>
      </c>
      <c r="T983" s="3" t="str">
        <f t="shared" si="15"/>
        <v>Below Avg</v>
      </c>
      <c r="U983" s="1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 s="1">
        <v>2610</v>
      </c>
      <c r="T984" s="3" t="str">
        <f t="shared" si="15"/>
        <v>Below Avg</v>
      </c>
      <c r="U984" s="1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 s="1">
        <v>6687</v>
      </c>
      <c r="T985" s="3" t="str">
        <f t="shared" si="15"/>
        <v>Above Avg</v>
      </c>
      <c r="U985" s="1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 s="1">
        <v>4724</v>
      </c>
      <c r="T986" s="3" t="str">
        <f t="shared" si="15"/>
        <v>Below Avg</v>
      </c>
      <c r="U986" s="1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 s="1">
        <v>6179</v>
      </c>
      <c r="T987" s="3" t="str">
        <f t="shared" si="15"/>
        <v>Below Avg</v>
      </c>
      <c r="U987" s="1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 s="1">
        <v>6120</v>
      </c>
      <c r="T988" s="3" t="str">
        <f t="shared" si="15"/>
        <v>Below Avg</v>
      </c>
      <c r="U988" s="1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 s="1">
        <v>10596</v>
      </c>
      <c r="T989" s="3" t="str">
        <f t="shared" si="15"/>
        <v>Above Avg</v>
      </c>
      <c r="U989" s="1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 s="1">
        <v>5467</v>
      </c>
      <c r="T990" s="3" t="str">
        <f t="shared" si="15"/>
        <v>Below Avg</v>
      </c>
      <c r="U990" s="1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 s="1">
        <v>2996</v>
      </c>
      <c r="T991" s="3" t="str">
        <f t="shared" si="15"/>
        <v>Below Avg</v>
      </c>
      <c r="U991" s="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 s="1">
        <v>9998</v>
      </c>
      <c r="T992" s="3" t="str">
        <f t="shared" si="15"/>
        <v>Above Avg</v>
      </c>
      <c r="U992" s="1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 s="1">
        <v>4078</v>
      </c>
      <c r="T993" s="3" t="str">
        <f t="shared" si="15"/>
        <v>Below Avg</v>
      </c>
      <c r="U993" s="1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 s="1">
        <v>10920</v>
      </c>
      <c r="T994" s="3" t="str">
        <f t="shared" si="15"/>
        <v>Above Avg</v>
      </c>
      <c r="U994" s="1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 s="1">
        <v>6232</v>
      </c>
      <c r="T995" s="3" t="str">
        <f t="shared" si="15"/>
        <v>Below Avg</v>
      </c>
      <c r="U995" s="1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 s="1">
        <v>13247</v>
      </c>
      <c r="T996" s="3" t="str">
        <f t="shared" si="15"/>
        <v>Above Avg</v>
      </c>
      <c r="U996" s="1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 s="1">
        <v>4081</v>
      </c>
      <c r="T997" s="3" t="str">
        <f t="shared" si="15"/>
        <v>Below Avg</v>
      </c>
      <c r="U997" s="1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 s="1">
        <v>5769</v>
      </c>
      <c r="T998" s="3" t="str">
        <f t="shared" si="15"/>
        <v>Below Avg</v>
      </c>
      <c r="U998" s="1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 s="1">
        <v>2394</v>
      </c>
      <c r="T999" s="3" t="str">
        <f t="shared" si="15"/>
        <v>Below Avg</v>
      </c>
      <c r="U999" s="1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 s="1">
        <v>3904</v>
      </c>
      <c r="T1000" s="3" t="str">
        <f t="shared" si="15"/>
        <v>Below Avg</v>
      </c>
      <c r="U1000" s="1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 s="1">
        <v>16799</v>
      </c>
      <c r="T1001" s="3" t="str">
        <f t="shared" si="15"/>
        <v>Above Avg</v>
      </c>
      <c r="U1001" s="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 s="1">
        <v>2950</v>
      </c>
      <c r="T1002" s="3" t="str">
        <f t="shared" si="15"/>
        <v>Below Avg</v>
      </c>
      <c r="U1002" s="1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 s="1">
        <v>3629</v>
      </c>
      <c r="T1003" s="3" t="str">
        <f t="shared" si="15"/>
        <v>Below Avg</v>
      </c>
      <c r="U1003" s="1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 s="1">
        <v>9362</v>
      </c>
      <c r="T1004" s="3" t="str">
        <f t="shared" si="15"/>
        <v>Above Avg</v>
      </c>
      <c r="U1004" s="1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 s="1">
        <v>3229</v>
      </c>
      <c r="T1005" s="3" t="str">
        <f t="shared" si="15"/>
        <v>Below Avg</v>
      </c>
      <c r="U1005" s="1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 s="1">
        <v>3578</v>
      </c>
      <c r="T1006" s="3" t="str">
        <f t="shared" si="15"/>
        <v>Below Avg</v>
      </c>
      <c r="U1006" s="1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 s="1">
        <v>7988</v>
      </c>
      <c r="T1007" s="3" t="str">
        <f t="shared" si="15"/>
        <v>Above Avg</v>
      </c>
      <c r="U1007" s="1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 s="1">
        <v>4284</v>
      </c>
      <c r="T1008" s="3" t="str">
        <f t="shared" si="15"/>
        <v>Below Avg</v>
      </c>
      <c r="U1008" s="1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 s="1">
        <v>7553</v>
      </c>
      <c r="T1009" s="3" t="str">
        <f t="shared" si="15"/>
        <v>Above Avg</v>
      </c>
      <c r="U1009" s="1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 s="1">
        <v>17328</v>
      </c>
      <c r="T1010" s="3" t="str">
        <f t="shared" si="15"/>
        <v>Above Avg</v>
      </c>
      <c r="U1010" s="1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 s="1">
        <v>19701</v>
      </c>
      <c r="T1011" s="3" t="str">
        <f t="shared" si="15"/>
        <v>Above Avg</v>
      </c>
      <c r="U1011" s="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 s="1">
        <v>14732</v>
      </c>
      <c r="T1012" s="3" t="str">
        <f t="shared" si="15"/>
        <v>Above Avg</v>
      </c>
      <c r="U1012" s="1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 s="1">
        <v>9278</v>
      </c>
      <c r="T1013" s="3" t="str">
        <f t="shared" si="15"/>
        <v>Above Avg</v>
      </c>
      <c r="U1013" s="1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 s="1">
        <v>1359</v>
      </c>
      <c r="T1014" s="3" t="str">
        <f t="shared" si="15"/>
        <v>Below Avg</v>
      </c>
      <c r="U1014" s="1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 s="1">
        <v>4779</v>
      </c>
      <c r="T1015" s="3" t="str">
        <f t="shared" si="15"/>
        <v>Below Avg</v>
      </c>
      <c r="U1015" s="1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 s="1">
        <v>16422</v>
      </c>
      <c r="T1016" s="3" t="str">
        <f t="shared" si="15"/>
        <v>Above Avg</v>
      </c>
      <c r="U1016" s="1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 s="1">
        <v>2996</v>
      </c>
      <c r="T1017" s="3" t="str">
        <f t="shared" si="15"/>
        <v>Below Avg</v>
      </c>
      <c r="U1017" s="1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 s="1">
        <v>1261</v>
      </c>
      <c r="T1018" s="3" t="str">
        <f t="shared" si="15"/>
        <v>Below Avg</v>
      </c>
      <c r="U1018" s="1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 s="1">
        <v>2099</v>
      </c>
      <c r="T1019" s="3" t="str">
        <f t="shared" si="15"/>
        <v>Below Avg</v>
      </c>
      <c r="U1019" s="1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 s="1">
        <v>5810</v>
      </c>
      <c r="T1020" s="3" t="str">
        <f t="shared" si="15"/>
        <v>Below Avg</v>
      </c>
      <c r="U1020" s="1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 s="1">
        <v>5647</v>
      </c>
      <c r="T1021" s="3" t="str">
        <f t="shared" si="15"/>
        <v>Below Avg</v>
      </c>
      <c r="U1021" s="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 s="1">
        <v>3420</v>
      </c>
      <c r="T1022" s="3" t="str">
        <f t="shared" si="15"/>
        <v>Below Avg</v>
      </c>
      <c r="U1022" s="1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 s="1">
        <v>4400</v>
      </c>
      <c r="T1023" s="3" t="str">
        <f t="shared" si="15"/>
        <v>Below Avg</v>
      </c>
      <c r="U1023" s="1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 s="1">
        <v>3500</v>
      </c>
      <c r="T1024" s="3" t="str">
        <f t="shared" si="15"/>
        <v>Below Avg</v>
      </c>
      <c r="U1024" s="1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 s="1">
        <v>2066</v>
      </c>
      <c r="T1025" s="3" t="str">
        <f t="shared" si="15"/>
        <v>Below Avg</v>
      </c>
      <c r="U1025" s="1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 s="1">
        <v>17169</v>
      </c>
      <c r="T1026" s="3" t="str">
        <f t="shared" ref="T1026:T1089" si="16">IF( S1026 &lt; AVERAGE($S$2:$S$1471), "Below Avg", "Above Avg" )</f>
        <v>Above Avg</v>
      </c>
      <c r="U1026" s="1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 s="1">
        <v>4162</v>
      </c>
      <c r="T1027" s="3" t="str">
        <f t="shared" si="16"/>
        <v>Below Avg</v>
      </c>
      <c r="U1027" s="1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 s="1">
        <v>9204</v>
      </c>
      <c r="T1028" s="3" t="str">
        <f t="shared" si="16"/>
        <v>Above Avg</v>
      </c>
      <c r="U1028" s="1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 s="1">
        <v>3294</v>
      </c>
      <c r="T1029" s="3" t="str">
        <f t="shared" si="16"/>
        <v>Below Avg</v>
      </c>
      <c r="U1029" s="1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 s="1">
        <v>2127</v>
      </c>
      <c r="T1030" s="3" t="str">
        <f t="shared" si="16"/>
        <v>Below Avg</v>
      </c>
      <c r="U1030" s="1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 s="1">
        <v>3975</v>
      </c>
      <c r="T1031" s="3" t="str">
        <f t="shared" si="16"/>
        <v>Below Avg</v>
      </c>
      <c r="U1031" s="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 s="1">
        <v>10793</v>
      </c>
      <c r="T1032" s="3" t="str">
        <f t="shared" si="16"/>
        <v>Above Avg</v>
      </c>
      <c r="U1032" s="1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 s="1">
        <v>10096</v>
      </c>
      <c r="T1033" s="3" t="str">
        <f t="shared" si="16"/>
        <v>Above Avg</v>
      </c>
      <c r="U1033" s="1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 s="1">
        <v>3646</v>
      </c>
      <c r="T1034" s="3" t="str">
        <f t="shared" si="16"/>
        <v>Below Avg</v>
      </c>
      <c r="U1034" s="1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 s="1">
        <v>7446</v>
      </c>
      <c r="T1035" s="3" t="str">
        <f t="shared" si="16"/>
        <v>Above Avg</v>
      </c>
      <c r="U1035" s="1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 s="1">
        <v>10851</v>
      </c>
      <c r="T1036" s="3" t="str">
        <f t="shared" si="16"/>
        <v>Above Avg</v>
      </c>
      <c r="U1036" s="1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 s="1">
        <v>2109</v>
      </c>
      <c r="T1037" s="3" t="str">
        <f t="shared" si="16"/>
        <v>Below Avg</v>
      </c>
      <c r="U1037" s="1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 s="1">
        <v>3722</v>
      </c>
      <c r="T1038" s="3" t="str">
        <f t="shared" si="16"/>
        <v>Below Avg</v>
      </c>
      <c r="U1038" s="1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 s="1">
        <v>9380</v>
      </c>
      <c r="T1039" s="3" t="str">
        <f t="shared" si="16"/>
        <v>Above Avg</v>
      </c>
      <c r="U1039" s="1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 s="1">
        <v>5486</v>
      </c>
      <c r="T1040" s="3" t="str">
        <f t="shared" si="16"/>
        <v>Below Avg</v>
      </c>
      <c r="U1040" s="1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 s="1">
        <v>2742</v>
      </c>
      <c r="T1041" s="3" t="str">
        <f t="shared" si="16"/>
        <v>Below Avg</v>
      </c>
      <c r="U1041" s="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 s="1">
        <v>13757</v>
      </c>
      <c r="T1042" s="3" t="str">
        <f t="shared" si="16"/>
        <v>Above Avg</v>
      </c>
      <c r="U1042" s="1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 s="1">
        <v>8463</v>
      </c>
      <c r="T1043" s="3" t="str">
        <f t="shared" si="16"/>
        <v>Above Avg</v>
      </c>
      <c r="U1043" s="1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 s="1">
        <v>3162</v>
      </c>
      <c r="T1044" s="3" t="str">
        <f t="shared" si="16"/>
        <v>Below Avg</v>
      </c>
      <c r="U1044" s="1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 s="1">
        <v>16598</v>
      </c>
      <c r="T1045" s="3" t="str">
        <f t="shared" si="16"/>
        <v>Above Avg</v>
      </c>
      <c r="U1045" s="1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 s="1">
        <v>6651</v>
      </c>
      <c r="T1046" s="3" t="str">
        <f t="shared" si="16"/>
        <v>Above Avg</v>
      </c>
      <c r="U1046" s="1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 s="1">
        <v>2345</v>
      </c>
      <c r="T1047" s="3" t="str">
        <f t="shared" si="16"/>
        <v>Below Avg</v>
      </c>
      <c r="U1047" s="1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 s="1">
        <v>3420</v>
      </c>
      <c r="T1048" s="3" t="str">
        <f t="shared" si="16"/>
        <v>Below Avg</v>
      </c>
      <c r="U1048" s="1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 s="1">
        <v>4373</v>
      </c>
      <c r="T1049" s="3" t="str">
        <f t="shared" si="16"/>
        <v>Below Avg</v>
      </c>
      <c r="U1049" s="1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 s="1">
        <v>4759</v>
      </c>
      <c r="T1050" s="3" t="str">
        <f t="shared" si="16"/>
        <v>Below Avg</v>
      </c>
      <c r="U1050" s="1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 s="1">
        <v>5301</v>
      </c>
      <c r="T1051" s="3" t="str">
        <f t="shared" si="16"/>
        <v>Below Avg</v>
      </c>
      <c r="U1051" s="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 s="1">
        <v>3673</v>
      </c>
      <c r="T1052" s="3" t="str">
        <f t="shared" si="16"/>
        <v>Below Avg</v>
      </c>
      <c r="U1052" s="1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 s="1">
        <v>4768</v>
      </c>
      <c r="T1053" s="3" t="str">
        <f t="shared" si="16"/>
        <v>Below Avg</v>
      </c>
      <c r="U1053" s="1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 s="1">
        <v>1274</v>
      </c>
      <c r="T1054" s="3" t="str">
        <f t="shared" si="16"/>
        <v>Below Avg</v>
      </c>
      <c r="U1054" s="1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 s="1">
        <v>4900</v>
      </c>
      <c r="T1055" s="3" t="str">
        <f t="shared" si="16"/>
        <v>Below Avg</v>
      </c>
      <c r="U1055" s="1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 s="1">
        <v>10466</v>
      </c>
      <c r="T1056" s="3" t="str">
        <f t="shared" si="16"/>
        <v>Above Avg</v>
      </c>
      <c r="U1056" s="1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 s="1">
        <v>17007</v>
      </c>
      <c r="T1057" s="3" t="str">
        <f t="shared" si="16"/>
        <v>Above Avg</v>
      </c>
      <c r="U1057" s="1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 s="1">
        <v>2909</v>
      </c>
      <c r="T1058" s="3" t="str">
        <f t="shared" si="16"/>
        <v>Below Avg</v>
      </c>
      <c r="U1058" s="1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 s="1">
        <v>5765</v>
      </c>
      <c r="T1059" s="3" t="str">
        <f t="shared" si="16"/>
        <v>Below Avg</v>
      </c>
      <c r="U1059" s="1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 s="1">
        <v>4599</v>
      </c>
      <c r="T1060" s="3" t="str">
        <f t="shared" si="16"/>
        <v>Below Avg</v>
      </c>
      <c r="U1060" s="1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 s="1">
        <v>2404</v>
      </c>
      <c r="T1061" s="3" t="str">
        <f t="shared" si="16"/>
        <v>Below Avg</v>
      </c>
      <c r="U1061" s="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 s="1">
        <v>3172</v>
      </c>
      <c r="T1062" s="3" t="str">
        <f t="shared" si="16"/>
        <v>Below Avg</v>
      </c>
      <c r="U1062" s="1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 s="1">
        <v>2033</v>
      </c>
      <c r="T1063" s="3" t="str">
        <f t="shared" si="16"/>
        <v>Below Avg</v>
      </c>
      <c r="U1063" s="1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 s="1">
        <v>10209</v>
      </c>
      <c r="T1064" s="3" t="str">
        <f t="shared" si="16"/>
        <v>Above Avg</v>
      </c>
      <c r="U1064" s="1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 s="1">
        <v>8620</v>
      </c>
      <c r="T1065" s="3" t="str">
        <f t="shared" si="16"/>
        <v>Above Avg</v>
      </c>
      <c r="U1065" s="1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 s="1">
        <v>2064</v>
      </c>
      <c r="T1066" s="3" t="str">
        <f t="shared" si="16"/>
        <v>Below Avg</v>
      </c>
      <c r="U1066" s="1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 s="1">
        <v>4035</v>
      </c>
      <c r="T1067" s="3" t="str">
        <f t="shared" si="16"/>
        <v>Below Avg</v>
      </c>
      <c r="U1067" s="1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 s="1">
        <v>3838</v>
      </c>
      <c r="T1068" s="3" t="str">
        <f t="shared" si="16"/>
        <v>Below Avg</v>
      </c>
      <c r="U1068" s="1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 s="1">
        <v>4591</v>
      </c>
      <c r="T1069" s="3" t="str">
        <f t="shared" si="16"/>
        <v>Below Avg</v>
      </c>
      <c r="U1069" s="1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 s="1">
        <v>2561</v>
      </c>
      <c r="T1070" s="3" t="str">
        <f t="shared" si="16"/>
        <v>Below Avg</v>
      </c>
      <c r="U1070" s="1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 s="1">
        <v>1563</v>
      </c>
      <c r="T1071" s="3" t="str">
        <f t="shared" si="16"/>
        <v>Below Avg</v>
      </c>
      <c r="U1071" s="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 s="1">
        <v>4898</v>
      </c>
      <c r="T1072" s="3" t="str">
        <f t="shared" si="16"/>
        <v>Below Avg</v>
      </c>
      <c r="U1072" s="1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 s="1">
        <v>4789</v>
      </c>
      <c r="T1073" s="3" t="str">
        <f t="shared" si="16"/>
        <v>Below Avg</v>
      </c>
      <c r="U1073" s="1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 s="1">
        <v>3180</v>
      </c>
      <c r="T1074" s="3" t="str">
        <f t="shared" si="16"/>
        <v>Below Avg</v>
      </c>
      <c r="U1074" s="1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 s="1">
        <v>6549</v>
      </c>
      <c r="T1075" s="3" t="str">
        <f t="shared" si="16"/>
        <v>Above Avg</v>
      </c>
      <c r="U1075" s="1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 s="1">
        <v>6388</v>
      </c>
      <c r="T1076" s="3" t="str">
        <f t="shared" si="16"/>
        <v>Below Avg</v>
      </c>
      <c r="U1076" s="1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 s="1">
        <v>11244</v>
      </c>
      <c r="T1077" s="3" t="str">
        <f t="shared" si="16"/>
        <v>Above Avg</v>
      </c>
      <c r="U1077" s="1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 s="1">
        <v>16032</v>
      </c>
      <c r="T1078" s="3" t="str">
        <f t="shared" si="16"/>
        <v>Above Avg</v>
      </c>
      <c r="U1078" s="1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 s="1">
        <v>2362</v>
      </c>
      <c r="T1079" s="3" t="str">
        <f t="shared" si="16"/>
        <v>Below Avg</v>
      </c>
      <c r="U1079" s="1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 s="1">
        <v>16328</v>
      </c>
      <c r="T1080" s="3" t="str">
        <f t="shared" si="16"/>
        <v>Above Avg</v>
      </c>
      <c r="U1080" s="1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 s="1">
        <v>8376</v>
      </c>
      <c r="T1081" s="3" t="str">
        <f t="shared" si="16"/>
        <v>Above Avg</v>
      </c>
      <c r="U1081" s="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 s="1">
        <v>16606</v>
      </c>
      <c r="T1082" s="3" t="str">
        <f t="shared" si="16"/>
        <v>Above Avg</v>
      </c>
      <c r="U1082" s="1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 s="1">
        <v>8606</v>
      </c>
      <c r="T1083" s="3" t="str">
        <f t="shared" si="16"/>
        <v>Above Avg</v>
      </c>
      <c r="U1083" s="1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 s="1">
        <v>2272</v>
      </c>
      <c r="T1084" s="3" t="str">
        <f t="shared" si="16"/>
        <v>Below Avg</v>
      </c>
      <c r="U1084" s="1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 s="1">
        <v>2018</v>
      </c>
      <c r="T1085" s="3" t="str">
        <f t="shared" si="16"/>
        <v>Below Avg</v>
      </c>
      <c r="U1085" s="1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 s="1">
        <v>7083</v>
      </c>
      <c r="T1086" s="3" t="str">
        <f t="shared" si="16"/>
        <v>Above Avg</v>
      </c>
      <c r="U1086" s="1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 s="1">
        <v>4084</v>
      </c>
      <c r="T1087" s="3" t="str">
        <f t="shared" si="16"/>
        <v>Below Avg</v>
      </c>
      <c r="U1087" s="1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 s="1">
        <v>14411</v>
      </c>
      <c r="T1088" s="3" t="str">
        <f t="shared" si="16"/>
        <v>Above Avg</v>
      </c>
      <c r="U1088" s="1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 s="1">
        <v>2308</v>
      </c>
      <c r="T1089" s="3" t="str">
        <f t="shared" si="16"/>
        <v>Below Avg</v>
      </c>
      <c r="U1089" s="1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 s="1">
        <v>4841</v>
      </c>
      <c r="T1090" s="3" t="str">
        <f t="shared" ref="T1090:T1153" si="17">IF( S1090 &lt; AVERAGE($S$2:$S$1471), "Below Avg", "Above Avg" )</f>
        <v>Below Avg</v>
      </c>
      <c r="U1090" s="1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 s="1">
        <v>4285</v>
      </c>
      <c r="T1091" s="3" t="str">
        <f t="shared" si="17"/>
        <v>Below Avg</v>
      </c>
      <c r="U1091" s="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 s="1">
        <v>9715</v>
      </c>
      <c r="T1092" s="3" t="str">
        <f t="shared" si="17"/>
        <v>Above Avg</v>
      </c>
      <c r="U1092" s="1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 s="1">
        <v>4320</v>
      </c>
      <c r="T1093" s="3" t="str">
        <f t="shared" si="17"/>
        <v>Below Avg</v>
      </c>
      <c r="U1093" s="1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 s="1">
        <v>2132</v>
      </c>
      <c r="T1094" s="3" t="str">
        <f t="shared" si="17"/>
        <v>Below Avg</v>
      </c>
      <c r="U1094" s="1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 s="1">
        <v>10124</v>
      </c>
      <c r="T1095" s="3" t="str">
        <f t="shared" si="17"/>
        <v>Above Avg</v>
      </c>
      <c r="U1095" s="1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 s="1">
        <v>5473</v>
      </c>
      <c r="T1096" s="3" t="str">
        <f t="shared" si="17"/>
        <v>Below Avg</v>
      </c>
      <c r="U1096" s="1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 s="1">
        <v>5207</v>
      </c>
      <c r="T1097" s="3" t="str">
        <f t="shared" si="17"/>
        <v>Below Avg</v>
      </c>
      <c r="U1097" s="1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 s="1">
        <v>16437</v>
      </c>
      <c r="T1098" s="3" t="str">
        <f t="shared" si="17"/>
        <v>Above Avg</v>
      </c>
      <c r="U1098" s="1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 s="1">
        <v>2296</v>
      </c>
      <c r="T1099" s="3" t="str">
        <f t="shared" si="17"/>
        <v>Below Avg</v>
      </c>
      <c r="U1099" s="1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 s="1">
        <v>4069</v>
      </c>
      <c r="T1100" s="3" t="str">
        <f t="shared" si="17"/>
        <v>Below Avg</v>
      </c>
      <c r="U1100" s="1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 s="1">
        <v>7441</v>
      </c>
      <c r="T1101" s="3" t="str">
        <f t="shared" si="17"/>
        <v>Above Avg</v>
      </c>
      <c r="U1101" s="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 s="1">
        <v>2430</v>
      </c>
      <c r="T1102" s="3" t="str">
        <f t="shared" si="17"/>
        <v>Below Avg</v>
      </c>
      <c r="U1102" s="1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 s="1">
        <v>5878</v>
      </c>
      <c r="T1103" s="3" t="str">
        <f t="shared" si="17"/>
        <v>Below Avg</v>
      </c>
      <c r="U1103" s="1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 s="1">
        <v>2644</v>
      </c>
      <c r="T1104" s="3" t="str">
        <f t="shared" si="17"/>
        <v>Below Avg</v>
      </c>
      <c r="U1104" s="1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 s="1">
        <v>6439</v>
      </c>
      <c r="T1105" s="3" t="str">
        <f t="shared" si="17"/>
        <v>Below Avg</v>
      </c>
      <c r="U1105" s="1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 s="1">
        <v>2451</v>
      </c>
      <c r="T1106" s="3" t="str">
        <f t="shared" si="17"/>
        <v>Below Avg</v>
      </c>
      <c r="U1106" s="1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 s="1">
        <v>6392</v>
      </c>
      <c r="T1107" s="3" t="str">
        <f t="shared" si="17"/>
        <v>Below Avg</v>
      </c>
      <c r="U1107" s="1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 s="1">
        <v>9714</v>
      </c>
      <c r="T1108" s="3" t="str">
        <f t="shared" si="17"/>
        <v>Above Avg</v>
      </c>
      <c r="U1108" s="1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 s="1">
        <v>6077</v>
      </c>
      <c r="T1109" s="3" t="str">
        <f t="shared" si="17"/>
        <v>Below Avg</v>
      </c>
      <c r="U1109" s="1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 s="1">
        <v>2450</v>
      </c>
      <c r="T1110" s="3" t="str">
        <f t="shared" si="17"/>
        <v>Below Avg</v>
      </c>
      <c r="U1110" s="1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 s="1">
        <v>9250</v>
      </c>
      <c r="T1111" s="3" t="str">
        <f t="shared" si="17"/>
        <v>Above Avg</v>
      </c>
      <c r="U1111" s="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 s="1">
        <v>2074</v>
      </c>
      <c r="T1112" s="3" t="str">
        <f t="shared" si="17"/>
        <v>Below Avg</v>
      </c>
      <c r="U1112" s="1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 s="1">
        <v>10169</v>
      </c>
      <c r="T1113" s="3" t="str">
        <f t="shared" si="17"/>
        <v>Above Avg</v>
      </c>
      <c r="U1113" s="1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 s="1">
        <v>4855</v>
      </c>
      <c r="T1114" s="3" t="str">
        <f t="shared" si="17"/>
        <v>Below Avg</v>
      </c>
      <c r="U1114" s="1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 s="1">
        <v>4087</v>
      </c>
      <c r="T1115" s="3" t="str">
        <f t="shared" si="17"/>
        <v>Below Avg</v>
      </c>
      <c r="U1115" s="1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 s="1">
        <v>2367</v>
      </c>
      <c r="T1116" s="3" t="str">
        <f t="shared" si="17"/>
        <v>Below Avg</v>
      </c>
      <c r="U1116" s="1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 s="1">
        <v>2972</v>
      </c>
      <c r="T1117" s="3" t="str">
        <f t="shared" si="17"/>
        <v>Below Avg</v>
      </c>
      <c r="U1117" s="1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 s="1">
        <v>19586</v>
      </c>
      <c r="T1118" s="3" t="str">
        <f t="shared" si="17"/>
        <v>Above Avg</v>
      </c>
      <c r="U1118" s="1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 s="1">
        <v>5484</v>
      </c>
      <c r="T1119" s="3" t="str">
        <f t="shared" si="17"/>
        <v>Below Avg</v>
      </c>
      <c r="U1119" s="1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 s="1">
        <v>2061</v>
      </c>
      <c r="T1120" s="3" t="str">
        <f t="shared" si="17"/>
        <v>Below Avg</v>
      </c>
      <c r="U1120" s="1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 s="1">
        <v>9924</v>
      </c>
      <c r="T1121" s="3" t="str">
        <f t="shared" si="17"/>
        <v>Above Avg</v>
      </c>
      <c r="U1121" s="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 s="1">
        <v>4198</v>
      </c>
      <c r="T1122" s="3" t="str">
        <f t="shared" si="17"/>
        <v>Below Avg</v>
      </c>
      <c r="U1122" s="1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 s="1">
        <v>6815</v>
      </c>
      <c r="T1123" s="3" t="str">
        <f t="shared" si="17"/>
        <v>Above Avg</v>
      </c>
      <c r="U1123" s="1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 s="1">
        <v>4723</v>
      </c>
      <c r="T1124" s="3" t="str">
        <f t="shared" si="17"/>
        <v>Below Avg</v>
      </c>
      <c r="U1124" s="1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 s="1">
        <v>6142</v>
      </c>
      <c r="T1125" s="3" t="str">
        <f t="shared" si="17"/>
        <v>Below Avg</v>
      </c>
      <c r="U1125" s="1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 s="1">
        <v>8237</v>
      </c>
      <c r="T1126" s="3" t="str">
        <f t="shared" si="17"/>
        <v>Above Avg</v>
      </c>
      <c r="U1126" s="1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 s="1">
        <v>8853</v>
      </c>
      <c r="T1127" s="3" t="str">
        <f t="shared" si="17"/>
        <v>Above Avg</v>
      </c>
      <c r="U1127" s="1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 s="1">
        <v>19331</v>
      </c>
      <c r="T1128" s="3" t="str">
        <f t="shared" si="17"/>
        <v>Above Avg</v>
      </c>
      <c r="U1128" s="1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 s="1">
        <v>2073</v>
      </c>
      <c r="T1129" s="3" t="str">
        <f t="shared" si="17"/>
        <v>Below Avg</v>
      </c>
      <c r="U1129" s="1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 s="1">
        <v>5562</v>
      </c>
      <c r="T1130" s="3" t="str">
        <f t="shared" si="17"/>
        <v>Below Avg</v>
      </c>
      <c r="U1130" s="1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 s="1">
        <v>19613</v>
      </c>
      <c r="T1131" s="3" t="str">
        <f t="shared" si="17"/>
        <v>Above Avg</v>
      </c>
      <c r="U1131" s="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 s="1">
        <v>3407</v>
      </c>
      <c r="T1132" s="3" t="str">
        <f t="shared" si="17"/>
        <v>Below Avg</v>
      </c>
      <c r="U1132" s="1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 s="1">
        <v>5063</v>
      </c>
      <c r="T1133" s="3" t="str">
        <f t="shared" si="17"/>
        <v>Below Avg</v>
      </c>
      <c r="U1133" s="1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 s="1">
        <v>4639</v>
      </c>
      <c r="T1134" s="3" t="str">
        <f t="shared" si="17"/>
        <v>Below Avg</v>
      </c>
      <c r="U1134" s="1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 s="1">
        <v>4876</v>
      </c>
      <c r="T1135" s="3" t="str">
        <f t="shared" si="17"/>
        <v>Below Avg</v>
      </c>
      <c r="U1135" s="1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 s="1">
        <v>2690</v>
      </c>
      <c r="T1136" s="3" t="str">
        <f t="shared" si="17"/>
        <v>Below Avg</v>
      </c>
      <c r="U1136" s="1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 s="1">
        <v>17567</v>
      </c>
      <c r="T1137" s="3" t="str">
        <f t="shared" si="17"/>
        <v>Above Avg</v>
      </c>
      <c r="U1137" s="1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 s="1">
        <v>2408</v>
      </c>
      <c r="T1138" s="3" t="str">
        <f t="shared" si="17"/>
        <v>Below Avg</v>
      </c>
      <c r="U1138" s="1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 s="1">
        <v>2814</v>
      </c>
      <c r="T1139" s="3" t="str">
        <f t="shared" si="17"/>
        <v>Below Avg</v>
      </c>
      <c r="U1139" s="1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 s="1">
        <v>11245</v>
      </c>
      <c r="T1140" s="3" t="str">
        <f t="shared" si="17"/>
        <v>Above Avg</v>
      </c>
      <c r="U1140" s="1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 s="1">
        <v>3312</v>
      </c>
      <c r="T1141" s="3" t="str">
        <f t="shared" si="17"/>
        <v>Below Avg</v>
      </c>
      <c r="U1141" s="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 s="1">
        <v>19049</v>
      </c>
      <c r="T1142" s="3" t="str">
        <f t="shared" si="17"/>
        <v>Above Avg</v>
      </c>
      <c r="U1142" s="1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 s="1">
        <v>2141</v>
      </c>
      <c r="T1143" s="3" t="str">
        <f t="shared" si="17"/>
        <v>Below Avg</v>
      </c>
      <c r="U1143" s="1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 s="1">
        <v>5769</v>
      </c>
      <c r="T1144" s="3" t="str">
        <f t="shared" si="17"/>
        <v>Below Avg</v>
      </c>
      <c r="U1144" s="1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 s="1">
        <v>4385</v>
      </c>
      <c r="T1145" s="3" t="str">
        <f t="shared" si="17"/>
        <v>Below Avg</v>
      </c>
      <c r="U1145" s="1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 s="1">
        <v>5332</v>
      </c>
      <c r="T1146" s="3" t="str">
        <f t="shared" si="17"/>
        <v>Below Avg</v>
      </c>
      <c r="U1146" s="1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 s="1">
        <v>4663</v>
      </c>
      <c r="T1147" s="3" t="str">
        <f t="shared" si="17"/>
        <v>Below Avg</v>
      </c>
      <c r="U1147" s="1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 s="1">
        <v>4724</v>
      </c>
      <c r="T1148" s="3" t="str">
        <f t="shared" si="17"/>
        <v>Below Avg</v>
      </c>
      <c r="U1148" s="1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 s="1">
        <v>3211</v>
      </c>
      <c r="T1149" s="3" t="str">
        <f t="shared" si="17"/>
        <v>Below Avg</v>
      </c>
      <c r="U1149" s="1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 s="1">
        <v>5377</v>
      </c>
      <c r="T1150" s="3" t="str">
        <f t="shared" si="17"/>
        <v>Below Avg</v>
      </c>
      <c r="U1150" s="1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 s="1">
        <v>4066</v>
      </c>
      <c r="T1151" s="3" t="str">
        <f t="shared" si="17"/>
        <v>Below Avg</v>
      </c>
      <c r="U1151" s="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 s="1">
        <v>5208</v>
      </c>
      <c r="T1152" s="3" t="str">
        <f t="shared" si="17"/>
        <v>Below Avg</v>
      </c>
      <c r="U1152" s="1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 s="1">
        <v>4877</v>
      </c>
      <c r="T1153" s="3" t="str">
        <f t="shared" si="17"/>
        <v>Below Avg</v>
      </c>
      <c r="U1153" s="1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 s="1">
        <v>3117</v>
      </c>
      <c r="T1154" s="3" t="str">
        <f t="shared" ref="T1154:T1217" si="18">IF( S1154 &lt; AVERAGE($S$2:$S$1471), "Below Avg", "Above Avg" )</f>
        <v>Below Avg</v>
      </c>
      <c r="U1154" s="1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 s="1">
        <v>1569</v>
      </c>
      <c r="T1155" s="3" t="str">
        <f t="shared" si="18"/>
        <v>Below Avg</v>
      </c>
      <c r="U1155" s="1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 s="1">
        <v>19658</v>
      </c>
      <c r="T1156" s="3" t="str">
        <f t="shared" si="18"/>
        <v>Above Avg</v>
      </c>
      <c r="U1156" s="1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 s="1">
        <v>3069</v>
      </c>
      <c r="T1157" s="3" t="str">
        <f t="shared" si="18"/>
        <v>Below Avg</v>
      </c>
      <c r="U1157" s="1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 s="1">
        <v>10435</v>
      </c>
      <c r="T1158" s="3" t="str">
        <f t="shared" si="18"/>
        <v>Above Avg</v>
      </c>
      <c r="U1158" s="1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 s="1">
        <v>4148</v>
      </c>
      <c r="T1159" s="3" t="str">
        <f t="shared" si="18"/>
        <v>Below Avg</v>
      </c>
      <c r="U1159" s="1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 s="1">
        <v>5768</v>
      </c>
      <c r="T1160" s="3" t="str">
        <f t="shared" si="18"/>
        <v>Below Avg</v>
      </c>
      <c r="U1160" s="1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 s="1">
        <v>5042</v>
      </c>
      <c r="T1161" s="3" t="str">
        <f t="shared" si="18"/>
        <v>Below Avg</v>
      </c>
      <c r="U1161" s="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 s="1">
        <v>5770</v>
      </c>
      <c r="T1162" s="3" t="str">
        <f t="shared" si="18"/>
        <v>Below Avg</v>
      </c>
      <c r="U1162" s="1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 s="1">
        <v>7756</v>
      </c>
      <c r="T1163" s="3" t="str">
        <f t="shared" si="18"/>
        <v>Above Avg</v>
      </c>
      <c r="U1163" s="1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 s="1">
        <v>10306</v>
      </c>
      <c r="T1164" s="3" t="str">
        <f t="shared" si="18"/>
        <v>Above Avg</v>
      </c>
      <c r="U1164" s="1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 s="1">
        <v>3936</v>
      </c>
      <c r="T1165" s="3" t="str">
        <f t="shared" si="18"/>
        <v>Below Avg</v>
      </c>
      <c r="U1165" s="1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 s="1">
        <v>7945</v>
      </c>
      <c r="T1166" s="3" t="str">
        <f t="shared" si="18"/>
        <v>Above Avg</v>
      </c>
      <c r="U1166" s="1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 s="1">
        <v>5743</v>
      </c>
      <c r="T1167" s="3" t="str">
        <f t="shared" si="18"/>
        <v>Below Avg</v>
      </c>
      <c r="U1167" s="1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 s="1">
        <v>15202</v>
      </c>
      <c r="T1168" s="3" t="str">
        <f t="shared" si="18"/>
        <v>Above Avg</v>
      </c>
      <c r="U1168" s="1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 s="1">
        <v>5440</v>
      </c>
      <c r="T1169" s="3" t="str">
        <f t="shared" si="18"/>
        <v>Below Avg</v>
      </c>
      <c r="U1169" s="1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 s="1">
        <v>3760</v>
      </c>
      <c r="T1170" s="3" t="str">
        <f t="shared" si="18"/>
        <v>Below Avg</v>
      </c>
      <c r="U1170" s="1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 s="1">
        <v>3517</v>
      </c>
      <c r="T1171" s="3" t="str">
        <f t="shared" si="18"/>
        <v>Below Avg</v>
      </c>
      <c r="U1171" s="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 s="1">
        <v>2580</v>
      </c>
      <c r="T1172" s="3" t="str">
        <f t="shared" si="18"/>
        <v>Below Avg</v>
      </c>
      <c r="U1172" s="1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 s="1">
        <v>2166</v>
      </c>
      <c r="T1173" s="3" t="str">
        <f t="shared" si="18"/>
        <v>Below Avg</v>
      </c>
      <c r="U1173" s="1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 s="1">
        <v>5869</v>
      </c>
      <c r="T1174" s="3" t="str">
        <f t="shared" si="18"/>
        <v>Below Avg</v>
      </c>
      <c r="U1174" s="1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 s="1">
        <v>8008</v>
      </c>
      <c r="T1175" s="3" t="str">
        <f t="shared" si="18"/>
        <v>Above Avg</v>
      </c>
      <c r="U1175" s="1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 s="1">
        <v>5206</v>
      </c>
      <c r="T1176" s="3" t="str">
        <f t="shared" si="18"/>
        <v>Below Avg</v>
      </c>
      <c r="U1176" s="1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 s="1">
        <v>5295</v>
      </c>
      <c r="T1177" s="3" t="str">
        <f t="shared" si="18"/>
        <v>Below Avg</v>
      </c>
      <c r="U1177" s="1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 s="1">
        <v>16413</v>
      </c>
      <c r="T1178" s="3" t="str">
        <f t="shared" si="18"/>
        <v>Above Avg</v>
      </c>
      <c r="U1178" s="1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 s="1">
        <v>13269</v>
      </c>
      <c r="T1179" s="3" t="str">
        <f t="shared" si="18"/>
        <v>Above Avg</v>
      </c>
      <c r="U1179" s="1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 s="1">
        <v>2783</v>
      </c>
      <c r="T1180" s="3" t="str">
        <f t="shared" si="18"/>
        <v>Below Avg</v>
      </c>
      <c r="U1180" s="1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 s="1">
        <v>5433</v>
      </c>
      <c r="T1181" s="3" t="str">
        <f t="shared" si="18"/>
        <v>Below Avg</v>
      </c>
      <c r="U1181" s="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 s="1">
        <v>2013</v>
      </c>
      <c r="T1182" s="3" t="str">
        <f t="shared" si="18"/>
        <v>Below Avg</v>
      </c>
      <c r="U1182" s="1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 s="1">
        <v>13966</v>
      </c>
      <c r="T1183" s="3" t="str">
        <f t="shared" si="18"/>
        <v>Above Avg</v>
      </c>
      <c r="U1183" s="1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 s="1">
        <v>4374</v>
      </c>
      <c r="T1184" s="3" t="str">
        <f t="shared" si="18"/>
        <v>Below Avg</v>
      </c>
      <c r="U1184" s="1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 s="1">
        <v>6842</v>
      </c>
      <c r="T1185" s="3" t="str">
        <f t="shared" si="18"/>
        <v>Above Avg</v>
      </c>
      <c r="U1185" s="1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 s="1">
        <v>17426</v>
      </c>
      <c r="T1186" s="3" t="str">
        <f t="shared" si="18"/>
        <v>Above Avg</v>
      </c>
      <c r="U1186" s="1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 s="1">
        <v>17603</v>
      </c>
      <c r="T1187" s="3" t="str">
        <f t="shared" si="18"/>
        <v>Above Avg</v>
      </c>
      <c r="U1187" s="1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 s="1">
        <v>4581</v>
      </c>
      <c r="T1188" s="3" t="str">
        <f t="shared" si="18"/>
        <v>Below Avg</v>
      </c>
      <c r="U1188" s="1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 s="1">
        <v>4735</v>
      </c>
      <c r="T1189" s="3" t="str">
        <f t="shared" si="18"/>
        <v>Below Avg</v>
      </c>
      <c r="U1189" s="1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 s="1">
        <v>4187</v>
      </c>
      <c r="T1190" s="3" t="str">
        <f t="shared" si="18"/>
        <v>Below Avg</v>
      </c>
      <c r="U1190" s="1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 s="1">
        <v>5505</v>
      </c>
      <c r="T1191" s="3" t="str">
        <f t="shared" si="18"/>
        <v>Below Avg</v>
      </c>
      <c r="U1191" s="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 s="1">
        <v>5470</v>
      </c>
      <c r="T1192" s="3" t="str">
        <f t="shared" si="18"/>
        <v>Below Avg</v>
      </c>
      <c r="U1192" s="1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 s="1">
        <v>5476</v>
      </c>
      <c r="T1193" s="3" t="str">
        <f t="shared" si="18"/>
        <v>Below Avg</v>
      </c>
      <c r="U1193" s="1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 s="1">
        <v>2587</v>
      </c>
      <c r="T1194" s="3" t="str">
        <f t="shared" si="18"/>
        <v>Below Avg</v>
      </c>
      <c r="U1194" s="1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 s="1">
        <v>2440</v>
      </c>
      <c r="T1195" s="3" t="str">
        <f t="shared" si="18"/>
        <v>Below Avg</v>
      </c>
      <c r="U1195" s="1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 s="1">
        <v>15972</v>
      </c>
      <c r="T1196" s="3" t="str">
        <f t="shared" si="18"/>
        <v>Above Avg</v>
      </c>
      <c r="U1196" s="1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 s="1">
        <v>15379</v>
      </c>
      <c r="T1197" s="3" t="str">
        <f t="shared" si="18"/>
        <v>Above Avg</v>
      </c>
      <c r="U1197" s="1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 s="1">
        <v>7082</v>
      </c>
      <c r="T1198" s="3" t="str">
        <f t="shared" si="18"/>
        <v>Above Avg</v>
      </c>
      <c r="U1198" s="1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 s="1">
        <v>2728</v>
      </c>
      <c r="T1199" s="3" t="str">
        <f t="shared" si="18"/>
        <v>Below Avg</v>
      </c>
      <c r="U1199" s="1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 s="1">
        <v>5368</v>
      </c>
      <c r="T1200" s="3" t="str">
        <f t="shared" si="18"/>
        <v>Below Avg</v>
      </c>
      <c r="U1200" s="1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 s="1">
        <v>5347</v>
      </c>
      <c r="T1201" s="3" t="str">
        <f t="shared" si="18"/>
        <v>Below Avg</v>
      </c>
      <c r="U1201" s="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 s="1">
        <v>3195</v>
      </c>
      <c r="T1202" s="3" t="str">
        <f t="shared" si="18"/>
        <v>Below Avg</v>
      </c>
      <c r="U1202" s="1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 s="1">
        <v>3989</v>
      </c>
      <c r="T1203" s="3" t="str">
        <f t="shared" si="18"/>
        <v>Below Avg</v>
      </c>
      <c r="U1203" s="1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 s="1">
        <v>3306</v>
      </c>
      <c r="T1204" s="3" t="str">
        <f t="shared" si="18"/>
        <v>Below Avg</v>
      </c>
      <c r="U1204" s="1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 s="1">
        <v>7005</v>
      </c>
      <c r="T1205" s="3" t="str">
        <f t="shared" si="18"/>
        <v>Above Avg</v>
      </c>
      <c r="U1205" s="1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 s="1">
        <v>2655</v>
      </c>
      <c r="T1206" s="3" t="str">
        <f t="shared" si="18"/>
        <v>Below Avg</v>
      </c>
      <c r="U1206" s="1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 s="1">
        <v>1393</v>
      </c>
      <c r="T1207" s="3" t="str">
        <f t="shared" si="18"/>
        <v>Below Avg</v>
      </c>
      <c r="U1207" s="1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 s="1">
        <v>2570</v>
      </c>
      <c r="T1208" s="3" t="str">
        <f t="shared" si="18"/>
        <v>Below Avg</v>
      </c>
      <c r="U1208" s="1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 s="1">
        <v>3537</v>
      </c>
      <c r="T1209" s="3" t="str">
        <f t="shared" si="18"/>
        <v>Below Avg</v>
      </c>
      <c r="U1209" s="1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 s="1">
        <v>3986</v>
      </c>
      <c r="T1210" s="3" t="str">
        <f t="shared" si="18"/>
        <v>Below Avg</v>
      </c>
      <c r="U1210" s="1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 s="1">
        <v>10883</v>
      </c>
      <c r="T1211" s="3" t="str">
        <f t="shared" si="18"/>
        <v>Above Avg</v>
      </c>
      <c r="U1211" s="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 s="1">
        <v>2028</v>
      </c>
      <c r="T1212" s="3" t="str">
        <f t="shared" si="18"/>
        <v>Below Avg</v>
      </c>
      <c r="U1212" s="1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 s="1">
        <v>9525</v>
      </c>
      <c r="T1213" s="3" t="str">
        <f t="shared" si="18"/>
        <v>Above Avg</v>
      </c>
      <c r="U1213" s="1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 s="1">
        <v>2929</v>
      </c>
      <c r="T1214" s="3" t="str">
        <f t="shared" si="18"/>
        <v>Below Avg</v>
      </c>
      <c r="U1214" s="1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 s="1">
        <v>2275</v>
      </c>
      <c r="T1215" s="3" t="str">
        <f t="shared" si="18"/>
        <v>Below Avg</v>
      </c>
      <c r="U1215" s="1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 s="1">
        <v>7879</v>
      </c>
      <c r="T1216" s="3" t="str">
        <f t="shared" si="18"/>
        <v>Above Avg</v>
      </c>
      <c r="U1216" s="1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 s="1">
        <v>4930</v>
      </c>
      <c r="T1217" s="3" t="str">
        <f t="shared" si="18"/>
        <v>Below Avg</v>
      </c>
      <c r="U1217" s="1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 s="1">
        <v>7847</v>
      </c>
      <c r="T1218" s="3" t="str">
        <f t="shared" ref="T1218:T1281" si="19">IF( S1218 &lt; AVERAGE($S$2:$S$1471), "Below Avg", "Above Avg" )</f>
        <v>Above Avg</v>
      </c>
      <c r="U1218" s="1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 s="1">
        <v>4401</v>
      </c>
      <c r="T1219" s="3" t="str">
        <f t="shared" si="19"/>
        <v>Below Avg</v>
      </c>
      <c r="U1219" s="1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 s="1">
        <v>9241</v>
      </c>
      <c r="T1220" s="3" t="str">
        <f t="shared" si="19"/>
        <v>Above Avg</v>
      </c>
      <c r="U1220" s="1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 s="1">
        <v>2974</v>
      </c>
      <c r="T1221" s="3" t="str">
        <f t="shared" si="19"/>
        <v>Below Avg</v>
      </c>
      <c r="U1221" s="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 s="1">
        <v>4502</v>
      </c>
      <c r="T1222" s="3" t="str">
        <f t="shared" si="19"/>
        <v>Below Avg</v>
      </c>
      <c r="U1222" s="1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 s="1">
        <v>10748</v>
      </c>
      <c r="T1223" s="3" t="str">
        <f t="shared" si="19"/>
        <v>Above Avg</v>
      </c>
      <c r="U1223" s="1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 s="1">
        <v>1555</v>
      </c>
      <c r="T1224" s="3" t="str">
        <f t="shared" si="19"/>
        <v>Below Avg</v>
      </c>
      <c r="U1224" s="1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 s="1">
        <v>12936</v>
      </c>
      <c r="T1225" s="3" t="str">
        <f t="shared" si="19"/>
        <v>Above Avg</v>
      </c>
      <c r="U1225" s="1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 s="1">
        <v>2305</v>
      </c>
      <c r="T1226" s="3" t="str">
        <f t="shared" si="19"/>
        <v>Below Avg</v>
      </c>
      <c r="U1226" s="1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 s="1">
        <v>16704</v>
      </c>
      <c r="T1227" s="3" t="str">
        <f t="shared" si="19"/>
        <v>Above Avg</v>
      </c>
      <c r="U1227" s="1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 s="1">
        <v>3433</v>
      </c>
      <c r="T1228" s="3" t="str">
        <f t="shared" si="19"/>
        <v>Below Avg</v>
      </c>
      <c r="U1228" s="1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 s="1">
        <v>3477</v>
      </c>
      <c r="T1229" s="3" t="str">
        <f t="shared" si="19"/>
        <v>Below Avg</v>
      </c>
      <c r="U1229" s="1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 s="1">
        <v>6430</v>
      </c>
      <c r="T1230" s="3" t="str">
        <f t="shared" si="19"/>
        <v>Below Avg</v>
      </c>
      <c r="U1230" s="1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 s="1">
        <v>6516</v>
      </c>
      <c r="T1231" s="3" t="str">
        <f t="shared" si="19"/>
        <v>Above Avg</v>
      </c>
      <c r="U1231" s="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 s="1">
        <v>3907</v>
      </c>
      <c r="T1232" s="3" t="str">
        <f t="shared" si="19"/>
        <v>Below Avg</v>
      </c>
      <c r="U1232" s="1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 s="1">
        <v>5562</v>
      </c>
      <c r="T1233" s="3" t="str">
        <f t="shared" si="19"/>
        <v>Below Avg</v>
      </c>
      <c r="U1233" s="1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 s="1">
        <v>6883</v>
      </c>
      <c r="T1234" s="3" t="str">
        <f t="shared" si="19"/>
        <v>Above Avg</v>
      </c>
      <c r="U1234" s="1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 s="1">
        <v>2862</v>
      </c>
      <c r="T1235" s="3" t="str">
        <f t="shared" si="19"/>
        <v>Below Avg</v>
      </c>
      <c r="U1235" s="1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 s="1">
        <v>4978</v>
      </c>
      <c r="T1236" s="3" t="str">
        <f t="shared" si="19"/>
        <v>Below Avg</v>
      </c>
      <c r="U1236" s="1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 s="1">
        <v>10368</v>
      </c>
      <c r="T1237" s="3" t="str">
        <f t="shared" si="19"/>
        <v>Above Avg</v>
      </c>
      <c r="U1237" s="1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 s="1">
        <v>6134</v>
      </c>
      <c r="T1238" s="3" t="str">
        <f t="shared" si="19"/>
        <v>Below Avg</v>
      </c>
      <c r="U1238" s="1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 s="1">
        <v>6735</v>
      </c>
      <c r="T1239" s="3" t="str">
        <f t="shared" si="19"/>
        <v>Above Avg</v>
      </c>
      <c r="U1239" s="1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 s="1">
        <v>3295</v>
      </c>
      <c r="T1240" s="3" t="str">
        <f t="shared" si="19"/>
        <v>Below Avg</v>
      </c>
      <c r="U1240" s="1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 s="1">
        <v>5238</v>
      </c>
      <c r="T1241" s="3" t="str">
        <f t="shared" si="19"/>
        <v>Below Avg</v>
      </c>
      <c r="U1241" s="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 s="1">
        <v>6472</v>
      </c>
      <c r="T1242" s="3" t="str">
        <f t="shared" si="19"/>
        <v>Below Avg</v>
      </c>
      <c r="U1242" s="1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 s="1">
        <v>9610</v>
      </c>
      <c r="T1243" s="3" t="str">
        <f t="shared" si="19"/>
        <v>Above Avg</v>
      </c>
      <c r="U1243" s="1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 s="1">
        <v>19833</v>
      </c>
      <c r="T1244" s="3" t="str">
        <f t="shared" si="19"/>
        <v>Above Avg</v>
      </c>
      <c r="U1244" s="1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 s="1">
        <v>9756</v>
      </c>
      <c r="T1245" s="3" t="str">
        <f t="shared" si="19"/>
        <v>Above Avg</v>
      </c>
      <c r="U1245" s="1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 s="1">
        <v>4968</v>
      </c>
      <c r="T1246" s="3" t="str">
        <f t="shared" si="19"/>
        <v>Below Avg</v>
      </c>
      <c r="U1246" s="1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 s="1">
        <v>2145</v>
      </c>
      <c r="T1247" s="3" t="str">
        <f t="shared" si="19"/>
        <v>Below Avg</v>
      </c>
      <c r="U1247" s="1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 s="1">
        <v>2180</v>
      </c>
      <c r="T1248" s="3" t="str">
        <f t="shared" si="19"/>
        <v>Below Avg</v>
      </c>
      <c r="U1248" s="1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 s="1">
        <v>8346</v>
      </c>
      <c r="T1249" s="3" t="str">
        <f t="shared" si="19"/>
        <v>Above Avg</v>
      </c>
      <c r="U1249" s="1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 s="1">
        <v>3445</v>
      </c>
      <c r="T1250" s="3" t="str">
        <f t="shared" si="19"/>
        <v>Below Avg</v>
      </c>
      <c r="U1250" s="1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 s="1">
        <v>2760</v>
      </c>
      <c r="T1251" s="3" t="str">
        <f t="shared" si="19"/>
        <v>Below Avg</v>
      </c>
      <c r="U1251" s="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 s="1">
        <v>6294</v>
      </c>
      <c r="T1252" s="3" t="str">
        <f t="shared" si="19"/>
        <v>Below Avg</v>
      </c>
      <c r="U1252" s="1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 s="1">
        <v>7140</v>
      </c>
      <c r="T1253" s="3" t="str">
        <f t="shared" si="19"/>
        <v>Above Avg</v>
      </c>
      <c r="U1253" s="1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 s="1">
        <v>2932</v>
      </c>
      <c r="T1254" s="3" t="str">
        <f t="shared" si="19"/>
        <v>Below Avg</v>
      </c>
      <c r="U1254" s="1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 s="1">
        <v>5147</v>
      </c>
      <c r="T1255" s="3" t="str">
        <f t="shared" si="19"/>
        <v>Below Avg</v>
      </c>
      <c r="U1255" s="1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 s="1">
        <v>4507</v>
      </c>
      <c r="T1256" s="3" t="str">
        <f t="shared" si="19"/>
        <v>Below Avg</v>
      </c>
      <c r="U1256" s="1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 s="1">
        <v>8564</v>
      </c>
      <c r="T1257" s="3" t="str">
        <f t="shared" si="19"/>
        <v>Above Avg</v>
      </c>
      <c r="U1257" s="1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 s="1">
        <v>2468</v>
      </c>
      <c r="T1258" s="3" t="str">
        <f t="shared" si="19"/>
        <v>Below Avg</v>
      </c>
      <c r="U1258" s="1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 s="1">
        <v>8161</v>
      </c>
      <c r="T1259" s="3" t="str">
        <f t="shared" si="19"/>
        <v>Above Avg</v>
      </c>
      <c r="U1259" s="1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 s="1">
        <v>2109</v>
      </c>
      <c r="T1260" s="3" t="str">
        <f t="shared" si="19"/>
        <v>Below Avg</v>
      </c>
      <c r="U1260" s="1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 s="1">
        <v>5294</v>
      </c>
      <c r="T1261" s="3" t="str">
        <f t="shared" si="19"/>
        <v>Below Avg</v>
      </c>
      <c r="U1261" s="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 s="1">
        <v>2718</v>
      </c>
      <c r="T1262" s="3" t="str">
        <f t="shared" si="19"/>
        <v>Below Avg</v>
      </c>
      <c r="U1262" s="1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 s="1">
        <v>5811</v>
      </c>
      <c r="T1263" s="3" t="str">
        <f t="shared" si="19"/>
        <v>Below Avg</v>
      </c>
      <c r="U1263" s="1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 s="1">
        <v>2437</v>
      </c>
      <c r="T1264" s="3" t="str">
        <f t="shared" si="19"/>
        <v>Below Avg</v>
      </c>
      <c r="U1264" s="1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 s="1">
        <v>2766</v>
      </c>
      <c r="T1265" s="3" t="str">
        <f t="shared" si="19"/>
        <v>Below Avg</v>
      </c>
      <c r="U1265" s="1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 s="1">
        <v>19038</v>
      </c>
      <c r="T1266" s="3" t="str">
        <f t="shared" si="19"/>
        <v>Above Avg</v>
      </c>
      <c r="U1266" s="1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 s="1">
        <v>3055</v>
      </c>
      <c r="T1267" s="3" t="str">
        <f t="shared" si="19"/>
        <v>Below Avg</v>
      </c>
      <c r="U1267" s="1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 s="1">
        <v>2289</v>
      </c>
      <c r="T1268" s="3" t="str">
        <f t="shared" si="19"/>
        <v>Below Avg</v>
      </c>
      <c r="U1268" s="1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 s="1">
        <v>4001</v>
      </c>
      <c r="T1269" s="3" t="str">
        <f t="shared" si="19"/>
        <v>Below Avg</v>
      </c>
      <c r="U1269" s="1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 s="1">
        <v>12965</v>
      </c>
      <c r="T1270" s="3" t="str">
        <f t="shared" si="19"/>
        <v>Above Avg</v>
      </c>
      <c r="U1270" s="1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 s="1">
        <v>3539</v>
      </c>
      <c r="T1271" s="3" t="str">
        <f t="shared" si="19"/>
        <v>Below Avg</v>
      </c>
      <c r="U1271" s="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 s="1">
        <v>6029</v>
      </c>
      <c r="T1272" s="3" t="str">
        <f t="shared" si="19"/>
        <v>Below Avg</v>
      </c>
      <c r="U1272" s="1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 s="1">
        <v>2679</v>
      </c>
      <c r="T1273" s="3" t="str">
        <f t="shared" si="19"/>
        <v>Below Avg</v>
      </c>
      <c r="U1273" s="1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 s="1">
        <v>3702</v>
      </c>
      <c r="T1274" s="3" t="str">
        <f t="shared" si="19"/>
        <v>Below Avg</v>
      </c>
      <c r="U1274" s="1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 s="1">
        <v>2398</v>
      </c>
      <c r="T1275" s="3" t="str">
        <f t="shared" si="19"/>
        <v>Below Avg</v>
      </c>
      <c r="U1275" s="1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 s="1">
        <v>5468</v>
      </c>
      <c r="T1276" s="3" t="str">
        <f t="shared" si="19"/>
        <v>Below Avg</v>
      </c>
      <c r="U1276" s="1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 s="1">
        <v>13116</v>
      </c>
      <c r="T1277" s="3" t="str">
        <f t="shared" si="19"/>
        <v>Above Avg</v>
      </c>
      <c r="U1277" s="1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 s="1">
        <v>4189</v>
      </c>
      <c r="T1278" s="3" t="str">
        <f t="shared" si="19"/>
        <v>Below Avg</v>
      </c>
      <c r="U1278" s="1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 s="1">
        <v>19328</v>
      </c>
      <c r="T1279" s="3" t="str">
        <f t="shared" si="19"/>
        <v>Above Avg</v>
      </c>
      <c r="U1279" s="1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 s="1">
        <v>8321</v>
      </c>
      <c r="T1280" s="3" t="str">
        <f t="shared" si="19"/>
        <v>Above Avg</v>
      </c>
      <c r="U1280" s="1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 s="1">
        <v>2342</v>
      </c>
      <c r="T1281" s="3" t="str">
        <f t="shared" si="19"/>
        <v>Below Avg</v>
      </c>
      <c r="U1281" s="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 s="1">
        <v>4071</v>
      </c>
      <c r="T1282" s="3" t="str">
        <f t="shared" ref="T1282:T1345" si="20">IF( S1282 &lt; AVERAGE($S$2:$S$1471), "Below Avg", "Above Avg" )</f>
        <v>Below Avg</v>
      </c>
      <c r="U1282" s="1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 s="1">
        <v>5813</v>
      </c>
      <c r="T1283" s="3" t="str">
        <f t="shared" si="20"/>
        <v>Below Avg</v>
      </c>
      <c r="U1283" s="1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 s="1">
        <v>3143</v>
      </c>
      <c r="T1284" s="3" t="str">
        <f t="shared" si="20"/>
        <v>Below Avg</v>
      </c>
      <c r="U1284" s="1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 s="1">
        <v>2044</v>
      </c>
      <c r="T1285" s="3" t="str">
        <f t="shared" si="20"/>
        <v>Below Avg</v>
      </c>
      <c r="U1285" s="1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 s="1">
        <v>13464</v>
      </c>
      <c r="T1286" s="3" t="str">
        <f t="shared" si="20"/>
        <v>Above Avg</v>
      </c>
      <c r="U1286" s="1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 s="1">
        <v>7991</v>
      </c>
      <c r="T1287" s="3" t="str">
        <f t="shared" si="20"/>
        <v>Above Avg</v>
      </c>
      <c r="U1287" s="1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 s="1">
        <v>3377</v>
      </c>
      <c r="T1288" s="3" t="str">
        <f t="shared" si="20"/>
        <v>Below Avg</v>
      </c>
      <c r="U1288" s="1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 s="1">
        <v>5538</v>
      </c>
      <c r="T1289" s="3" t="str">
        <f t="shared" si="20"/>
        <v>Below Avg</v>
      </c>
      <c r="U1289" s="1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 s="1">
        <v>5762</v>
      </c>
      <c r="T1290" s="3" t="str">
        <f t="shared" si="20"/>
        <v>Below Avg</v>
      </c>
      <c r="U1290" s="1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 s="1">
        <v>2592</v>
      </c>
      <c r="T1291" s="3" t="str">
        <f t="shared" si="20"/>
        <v>Below Avg</v>
      </c>
      <c r="U1291" s="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 s="1">
        <v>5346</v>
      </c>
      <c r="T1292" s="3" t="str">
        <f t="shared" si="20"/>
        <v>Below Avg</v>
      </c>
      <c r="U1292" s="1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 s="1">
        <v>4213</v>
      </c>
      <c r="T1293" s="3" t="str">
        <f t="shared" si="20"/>
        <v>Below Avg</v>
      </c>
      <c r="U1293" s="1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 s="1">
        <v>4127</v>
      </c>
      <c r="T1294" s="3" t="str">
        <f t="shared" si="20"/>
        <v>Below Avg</v>
      </c>
      <c r="U1294" s="1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 s="1">
        <v>2438</v>
      </c>
      <c r="T1295" s="3" t="str">
        <f t="shared" si="20"/>
        <v>Below Avg</v>
      </c>
      <c r="U1295" s="1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 s="1">
        <v>6870</v>
      </c>
      <c r="T1296" s="3" t="str">
        <f t="shared" si="20"/>
        <v>Above Avg</v>
      </c>
      <c r="U1296" s="1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 s="1">
        <v>10447</v>
      </c>
      <c r="T1297" s="3" t="str">
        <f t="shared" si="20"/>
        <v>Above Avg</v>
      </c>
      <c r="U1297" s="1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 s="1">
        <v>9667</v>
      </c>
      <c r="T1298" s="3" t="str">
        <f t="shared" si="20"/>
        <v>Above Avg</v>
      </c>
      <c r="U1298" s="1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 s="1">
        <v>2148</v>
      </c>
      <c r="T1299" s="3" t="str">
        <f t="shared" si="20"/>
        <v>Below Avg</v>
      </c>
      <c r="U1299" s="1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 s="1">
        <v>8926</v>
      </c>
      <c r="T1300" s="3" t="str">
        <f t="shared" si="20"/>
        <v>Above Avg</v>
      </c>
      <c r="U1300" s="1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 s="1">
        <v>6513</v>
      </c>
      <c r="T1301" s="3" t="str">
        <f t="shared" si="20"/>
        <v>Above Avg</v>
      </c>
      <c r="U1301" s="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 s="1">
        <v>6799</v>
      </c>
      <c r="T1302" s="3" t="str">
        <f t="shared" si="20"/>
        <v>Above Avg</v>
      </c>
      <c r="U1302" s="1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 s="1">
        <v>16291</v>
      </c>
      <c r="T1303" s="3" t="str">
        <f t="shared" si="20"/>
        <v>Above Avg</v>
      </c>
      <c r="U1303" s="1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 s="1">
        <v>2705</v>
      </c>
      <c r="T1304" s="3" t="str">
        <f t="shared" si="20"/>
        <v>Below Avg</v>
      </c>
      <c r="U1304" s="1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 s="1">
        <v>10333</v>
      </c>
      <c r="T1305" s="3" t="str">
        <f t="shared" si="20"/>
        <v>Above Avg</v>
      </c>
      <c r="U1305" s="1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 s="1">
        <v>4448</v>
      </c>
      <c r="T1306" s="3" t="str">
        <f t="shared" si="20"/>
        <v>Below Avg</v>
      </c>
      <c r="U1306" s="1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 s="1">
        <v>6854</v>
      </c>
      <c r="T1307" s="3" t="str">
        <f t="shared" si="20"/>
        <v>Above Avg</v>
      </c>
      <c r="U1307" s="1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 s="1">
        <v>9637</v>
      </c>
      <c r="T1308" s="3" t="str">
        <f t="shared" si="20"/>
        <v>Above Avg</v>
      </c>
      <c r="U1308" s="1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 s="1">
        <v>3591</v>
      </c>
      <c r="T1309" s="3" t="str">
        <f t="shared" si="20"/>
        <v>Below Avg</v>
      </c>
      <c r="U1309" s="1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 s="1">
        <v>5405</v>
      </c>
      <c r="T1310" s="3" t="str">
        <f t="shared" si="20"/>
        <v>Below Avg</v>
      </c>
      <c r="U1310" s="1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 s="1">
        <v>4684</v>
      </c>
      <c r="T1311" s="3" t="str">
        <f t="shared" si="20"/>
        <v>Below Avg</v>
      </c>
      <c r="U1311" s="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 s="1">
        <v>15787</v>
      </c>
      <c r="T1312" s="3" t="str">
        <f t="shared" si="20"/>
        <v>Above Avg</v>
      </c>
      <c r="U1312" s="1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 s="1">
        <v>1514</v>
      </c>
      <c r="T1313" s="3" t="str">
        <f t="shared" si="20"/>
        <v>Below Avg</v>
      </c>
      <c r="U1313" s="1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 s="1">
        <v>2956</v>
      </c>
      <c r="T1314" s="3" t="str">
        <f t="shared" si="20"/>
        <v>Below Avg</v>
      </c>
      <c r="U1314" s="1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 s="1">
        <v>2335</v>
      </c>
      <c r="T1315" s="3" t="str">
        <f t="shared" si="20"/>
        <v>Below Avg</v>
      </c>
      <c r="U1315" s="1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 s="1">
        <v>5154</v>
      </c>
      <c r="T1316" s="3" t="str">
        <f t="shared" si="20"/>
        <v>Below Avg</v>
      </c>
      <c r="U1316" s="1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 s="1">
        <v>6962</v>
      </c>
      <c r="T1317" s="3" t="str">
        <f t="shared" si="20"/>
        <v>Above Avg</v>
      </c>
      <c r="U1317" s="1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 s="1">
        <v>5675</v>
      </c>
      <c r="T1318" s="3" t="str">
        <f t="shared" si="20"/>
        <v>Below Avg</v>
      </c>
      <c r="U1318" s="1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 s="1">
        <v>2379</v>
      </c>
      <c r="T1319" s="3" t="str">
        <f t="shared" si="20"/>
        <v>Below Avg</v>
      </c>
      <c r="U1319" s="1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 s="1">
        <v>3812</v>
      </c>
      <c r="T1320" s="3" t="str">
        <f t="shared" si="20"/>
        <v>Below Avg</v>
      </c>
      <c r="U1320" s="1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 s="1">
        <v>4648</v>
      </c>
      <c r="T1321" s="3" t="str">
        <f t="shared" si="20"/>
        <v>Below Avg</v>
      </c>
      <c r="U1321" s="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 s="1">
        <v>2936</v>
      </c>
      <c r="T1322" s="3" t="str">
        <f t="shared" si="20"/>
        <v>Below Avg</v>
      </c>
      <c r="U1322" s="1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 s="1">
        <v>2105</v>
      </c>
      <c r="T1323" s="3" t="str">
        <f t="shared" si="20"/>
        <v>Below Avg</v>
      </c>
      <c r="U1323" s="1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 s="1">
        <v>8578</v>
      </c>
      <c r="T1324" s="3" t="str">
        <f t="shared" si="20"/>
        <v>Above Avg</v>
      </c>
      <c r="U1324" s="1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 s="1">
        <v>2706</v>
      </c>
      <c r="T1325" s="3" t="str">
        <f t="shared" si="20"/>
        <v>Below Avg</v>
      </c>
      <c r="U1325" s="1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 s="1">
        <v>6384</v>
      </c>
      <c r="T1326" s="3" t="str">
        <f t="shared" si="20"/>
        <v>Below Avg</v>
      </c>
      <c r="U1326" s="1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 s="1">
        <v>3968</v>
      </c>
      <c r="T1327" s="3" t="str">
        <f t="shared" si="20"/>
        <v>Below Avg</v>
      </c>
      <c r="U1327" s="1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 s="1">
        <v>9907</v>
      </c>
      <c r="T1328" s="3" t="str">
        <f t="shared" si="20"/>
        <v>Above Avg</v>
      </c>
      <c r="U1328" s="1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 s="1">
        <v>13225</v>
      </c>
      <c r="T1329" s="3" t="str">
        <f t="shared" si="20"/>
        <v>Above Avg</v>
      </c>
      <c r="U1329" s="1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 s="1">
        <v>3540</v>
      </c>
      <c r="T1330" s="3" t="str">
        <f t="shared" si="20"/>
        <v>Below Avg</v>
      </c>
      <c r="U1330" s="1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 s="1">
        <v>2804</v>
      </c>
      <c r="T1331" s="3" t="str">
        <f t="shared" si="20"/>
        <v>Below Avg</v>
      </c>
      <c r="U1331" s="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 s="1">
        <v>19392</v>
      </c>
      <c r="T1332" s="3" t="str">
        <f t="shared" si="20"/>
        <v>Above Avg</v>
      </c>
      <c r="U1332" s="1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 s="1">
        <v>19665</v>
      </c>
      <c r="T1333" s="3" t="str">
        <f t="shared" si="20"/>
        <v>Above Avg</v>
      </c>
      <c r="U1333" s="1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 s="1">
        <v>2439</v>
      </c>
      <c r="T1334" s="3" t="str">
        <f t="shared" si="20"/>
        <v>Below Avg</v>
      </c>
      <c r="U1334" s="1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 s="1">
        <v>7314</v>
      </c>
      <c r="T1335" s="3" t="str">
        <f t="shared" si="20"/>
        <v>Above Avg</v>
      </c>
      <c r="U1335" s="1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 s="1">
        <v>4774</v>
      </c>
      <c r="T1336" s="3" t="str">
        <f t="shared" si="20"/>
        <v>Below Avg</v>
      </c>
      <c r="U1336" s="1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 s="1">
        <v>3902</v>
      </c>
      <c r="T1337" s="3" t="str">
        <f t="shared" si="20"/>
        <v>Below Avg</v>
      </c>
      <c r="U1337" s="1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 s="1">
        <v>2662</v>
      </c>
      <c r="T1338" s="3" t="str">
        <f t="shared" si="20"/>
        <v>Below Avg</v>
      </c>
      <c r="U1338" s="1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 s="1">
        <v>2856</v>
      </c>
      <c r="T1339" s="3" t="str">
        <f t="shared" si="20"/>
        <v>Below Avg</v>
      </c>
      <c r="U1339" s="1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 s="1">
        <v>1081</v>
      </c>
      <c r="T1340" s="3" t="str">
        <f t="shared" si="20"/>
        <v>Below Avg</v>
      </c>
      <c r="U1340" s="1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 s="1">
        <v>2472</v>
      </c>
      <c r="T1341" s="3" t="str">
        <f t="shared" si="20"/>
        <v>Below Avg</v>
      </c>
      <c r="U1341" s="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 s="1">
        <v>5673</v>
      </c>
      <c r="T1342" s="3" t="str">
        <f t="shared" si="20"/>
        <v>Below Avg</v>
      </c>
      <c r="U1342" s="1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 s="1">
        <v>4197</v>
      </c>
      <c r="T1343" s="3" t="str">
        <f t="shared" si="20"/>
        <v>Below Avg</v>
      </c>
      <c r="U1343" s="1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 s="1">
        <v>9713</v>
      </c>
      <c r="T1344" s="3" t="str">
        <f t="shared" si="20"/>
        <v>Above Avg</v>
      </c>
      <c r="U1344" s="1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 s="1">
        <v>2062</v>
      </c>
      <c r="T1345" s="3" t="str">
        <f t="shared" si="20"/>
        <v>Below Avg</v>
      </c>
      <c r="U1345" s="1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 s="1">
        <v>4284</v>
      </c>
      <c r="T1346" s="3" t="str">
        <f t="shared" ref="T1346:T1409" si="21">IF( S1346 &lt; AVERAGE($S$2:$S$1471), "Below Avg", "Above Avg" )</f>
        <v>Below Avg</v>
      </c>
      <c r="U1346" s="1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 s="1">
        <v>4788</v>
      </c>
      <c r="T1347" s="3" t="str">
        <f t="shared" si="21"/>
        <v>Below Avg</v>
      </c>
      <c r="U1347" s="1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 s="1">
        <v>5906</v>
      </c>
      <c r="T1348" s="3" t="str">
        <f t="shared" si="21"/>
        <v>Below Avg</v>
      </c>
      <c r="U1348" s="1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 s="1">
        <v>3886</v>
      </c>
      <c r="T1349" s="3" t="str">
        <f t="shared" si="21"/>
        <v>Below Avg</v>
      </c>
      <c r="U1349" s="1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 s="1">
        <v>16823</v>
      </c>
      <c r="T1350" s="3" t="str">
        <f t="shared" si="21"/>
        <v>Above Avg</v>
      </c>
      <c r="U1350" s="1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 s="1">
        <v>2933</v>
      </c>
      <c r="T1351" s="3" t="str">
        <f t="shared" si="21"/>
        <v>Below Avg</v>
      </c>
      <c r="U1351" s="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 s="1">
        <v>6500</v>
      </c>
      <c r="T1352" s="3" t="str">
        <f t="shared" si="21"/>
        <v>Below Avg</v>
      </c>
      <c r="U1352" s="1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 s="1">
        <v>17174</v>
      </c>
      <c r="T1353" s="3" t="str">
        <f t="shared" si="21"/>
        <v>Above Avg</v>
      </c>
      <c r="U1353" s="1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 s="1">
        <v>5033</v>
      </c>
      <c r="T1354" s="3" t="str">
        <f t="shared" si="21"/>
        <v>Below Avg</v>
      </c>
      <c r="U1354" s="1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 s="1">
        <v>2307</v>
      </c>
      <c r="T1355" s="3" t="str">
        <f t="shared" si="21"/>
        <v>Below Avg</v>
      </c>
      <c r="U1355" s="1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 s="1">
        <v>2587</v>
      </c>
      <c r="T1356" s="3" t="str">
        <f t="shared" si="21"/>
        <v>Below Avg</v>
      </c>
      <c r="U1356" s="1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 s="1">
        <v>5507</v>
      </c>
      <c r="T1357" s="3" t="str">
        <f t="shared" si="21"/>
        <v>Below Avg</v>
      </c>
      <c r="U1357" s="1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 s="1">
        <v>4393</v>
      </c>
      <c r="T1358" s="3" t="str">
        <f t="shared" si="21"/>
        <v>Below Avg</v>
      </c>
      <c r="U1358" s="1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 s="1">
        <v>13348</v>
      </c>
      <c r="T1359" s="3" t="str">
        <f t="shared" si="21"/>
        <v>Above Avg</v>
      </c>
      <c r="U1359" s="1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 s="1">
        <v>6583</v>
      </c>
      <c r="T1360" s="3" t="str">
        <f t="shared" si="21"/>
        <v>Above Avg</v>
      </c>
      <c r="U1360" s="1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 s="1">
        <v>8103</v>
      </c>
      <c r="T1361" s="3" t="str">
        <f t="shared" si="21"/>
        <v>Above Avg</v>
      </c>
      <c r="U1361" s="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 s="1">
        <v>3978</v>
      </c>
      <c r="T1362" s="3" t="str">
        <f t="shared" si="21"/>
        <v>Below Avg</v>
      </c>
      <c r="U1362" s="1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 s="1">
        <v>2544</v>
      </c>
      <c r="T1363" s="3" t="str">
        <f t="shared" si="21"/>
        <v>Below Avg</v>
      </c>
      <c r="U1363" s="1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 s="1">
        <v>5399</v>
      </c>
      <c r="T1364" s="3" t="str">
        <f t="shared" si="21"/>
        <v>Below Avg</v>
      </c>
      <c r="U1364" s="1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 s="1">
        <v>5487</v>
      </c>
      <c r="T1365" s="3" t="str">
        <f t="shared" si="21"/>
        <v>Below Avg</v>
      </c>
      <c r="U1365" s="1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 s="1">
        <v>6834</v>
      </c>
      <c r="T1366" s="3" t="str">
        <f t="shared" si="21"/>
        <v>Above Avg</v>
      </c>
      <c r="U1366" s="1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 s="1">
        <v>1091</v>
      </c>
      <c r="T1367" s="3" t="str">
        <f t="shared" si="21"/>
        <v>Below Avg</v>
      </c>
      <c r="U1367" s="1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 s="1">
        <v>5736</v>
      </c>
      <c r="T1368" s="3" t="str">
        <f t="shared" si="21"/>
        <v>Below Avg</v>
      </c>
      <c r="U1368" s="1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 s="1">
        <v>2226</v>
      </c>
      <c r="T1369" s="3" t="str">
        <f t="shared" si="21"/>
        <v>Below Avg</v>
      </c>
      <c r="U1369" s="1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 s="1">
        <v>5747</v>
      </c>
      <c r="T1370" s="3" t="str">
        <f t="shared" si="21"/>
        <v>Below Avg</v>
      </c>
      <c r="U1370" s="1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 s="1">
        <v>9854</v>
      </c>
      <c r="T1371" s="3" t="str">
        <f t="shared" si="21"/>
        <v>Above Avg</v>
      </c>
      <c r="U1371" s="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 s="1">
        <v>5467</v>
      </c>
      <c r="T1372" s="3" t="str">
        <f t="shared" si="21"/>
        <v>Below Avg</v>
      </c>
      <c r="U1372" s="1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 s="1">
        <v>5380</v>
      </c>
      <c r="T1373" s="3" t="str">
        <f t="shared" si="21"/>
        <v>Below Avg</v>
      </c>
      <c r="U1373" s="1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 s="1">
        <v>5151</v>
      </c>
      <c r="T1374" s="3" t="str">
        <f t="shared" si="21"/>
        <v>Below Avg</v>
      </c>
      <c r="U1374" s="1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 s="1">
        <v>2133</v>
      </c>
      <c r="T1375" s="3" t="str">
        <f t="shared" si="21"/>
        <v>Below Avg</v>
      </c>
      <c r="U1375" s="1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 s="1">
        <v>17875</v>
      </c>
      <c r="T1376" s="3" t="str">
        <f t="shared" si="21"/>
        <v>Above Avg</v>
      </c>
      <c r="U1376" s="1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 s="1">
        <v>2432</v>
      </c>
      <c r="T1377" s="3" t="str">
        <f t="shared" si="21"/>
        <v>Below Avg</v>
      </c>
      <c r="U1377" s="1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 s="1">
        <v>4771</v>
      </c>
      <c r="T1378" s="3" t="str">
        <f t="shared" si="21"/>
        <v>Below Avg</v>
      </c>
      <c r="U1378" s="1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 s="1">
        <v>19161</v>
      </c>
      <c r="T1379" s="3" t="str">
        <f t="shared" si="21"/>
        <v>Above Avg</v>
      </c>
      <c r="U1379" s="1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 s="1">
        <v>5087</v>
      </c>
      <c r="T1380" s="3" t="str">
        <f t="shared" si="21"/>
        <v>Below Avg</v>
      </c>
      <c r="U1380" s="1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 s="1">
        <v>2863</v>
      </c>
      <c r="T1381" s="3" t="str">
        <f t="shared" si="21"/>
        <v>Below Avg</v>
      </c>
      <c r="U1381" s="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 s="1">
        <v>5561</v>
      </c>
      <c r="T1382" s="3" t="str">
        <f t="shared" si="21"/>
        <v>Below Avg</v>
      </c>
      <c r="U1382" s="1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 s="1">
        <v>2144</v>
      </c>
      <c r="T1383" s="3" t="str">
        <f t="shared" si="21"/>
        <v>Below Avg</v>
      </c>
      <c r="U1383" s="1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 s="1">
        <v>3065</v>
      </c>
      <c r="T1384" s="3" t="str">
        <f t="shared" si="21"/>
        <v>Below Avg</v>
      </c>
      <c r="U1384" s="1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 s="1">
        <v>2810</v>
      </c>
      <c r="T1385" s="3" t="str">
        <f t="shared" si="21"/>
        <v>Below Avg</v>
      </c>
      <c r="U1385" s="1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 s="1">
        <v>9888</v>
      </c>
      <c r="T1386" s="3" t="str">
        <f t="shared" si="21"/>
        <v>Above Avg</v>
      </c>
      <c r="U1386" s="1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 s="1">
        <v>8628</v>
      </c>
      <c r="T1387" s="3" t="str">
        <f t="shared" si="21"/>
        <v>Above Avg</v>
      </c>
      <c r="U1387" s="1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 s="1">
        <v>2867</v>
      </c>
      <c r="T1388" s="3" t="str">
        <f t="shared" si="21"/>
        <v>Below Avg</v>
      </c>
      <c r="U1388" s="1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 s="1">
        <v>5373</v>
      </c>
      <c r="T1389" s="3" t="str">
        <f t="shared" si="21"/>
        <v>Below Avg</v>
      </c>
      <c r="U1389" s="1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 s="1">
        <v>6667</v>
      </c>
      <c r="T1390" s="3" t="str">
        <f t="shared" si="21"/>
        <v>Above Avg</v>
      </c>
      <c r="U1390" s="1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 s="1">
        <v>5003</v>
      </c>
      <c r="T1391" s="3" t="str">
        <f t="shared" si="21"/>
        <v>Below Avg</v>
      </c>
      <c r="U1391" s="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 s="1">
        <v>2367</v>
      </c>
      <c r="T1392" s="3" t="str">
        <f t="shared" si="21"/>
        <v>Below Avg</v>
      </c>
      <c r="U1392" s="1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 s="1">
        <v>2858</v>
      </c>
      <c r="T1393" s="3" t="str">
        <f t="shared" si="21"/>
        <v>Below Avg</v>
      </c>
      <c r="U1393" s="1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 s="1">
        <v>5204</v>
      </c>
      <c r="T1394" s="3" t="str">
        <f t="shared" si="21"/>
        <v>Below Avg</v>
      </c>
      <c r="U1394" s="1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 s="1">
        <v>4105</v>
      </c>
      <c r="T1395" s="3" t="str">
        <f t="shared" si="21"/>
        <v>Below Avg</v>
      </c>
      <c r="U1395" s="1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 s="1">
        <v>9679</v>
      </c>
      <c r="T1396" s="3" t="str">
        <f t="shared" si="21"/>
        <v>Above Avg</v>
      </c>
      <c r="U1396" s="1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 s="1">
        <v>5617</v>
      </c>
      <c r="T1397" s="3" t="str">
        <f t="shared" si="21"/>
        <v>Below Avg</v>
      </c>
      <c r="U1397" s="1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 s="1">
        <v>10448</v>
      </c>
      <c r="T1398" s="3" t="str">
        <f t="shared" si="21"/>
        <v>Above Avg</v>
      </c>
      <c r="U1398" s="1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 s="1">
        <v>2897</v>
      </c>
      <c r="T1399" s="3" t="str">
        <f t="shared" si="21"/>
        <v>Below Avg</v>
      </c>
      <c r="U1399" s="1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 s="1">
        <v>5968</v>
      </c>
      <c r="T1400" s="3" t="str">
        <f t="shared" si="21"/>
        <v>Below Avg</v>
      </c>
      <c r="U1400" s="1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 s="1">
        <v>7510</v>
      </c>
      <c r="T1401" s="3" t="str">
        <f t="shared" si="21"/>
        <v>Above Avg</v>
      </c>
      <c r="U1401" s="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 s="1">
        <v>2991</v>
      </c>
      <c r="T1402" s="3" t="str">
        <f t="shared" si="21"/>
        <v>Below Avg</v>
      </c>
      <c r="U1402" s="1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 s="1">
        <v>19636</v>
      </c>
      <c r="T1403" s="3" t="str">
        <f t="shared" si="21"/>
        <v>Above Avg</v>
      </c>
      <c r="U1403" s="1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 s="1">
        <v>1129</v>
      </c>
      <c r="T1404" s="3" t="str">
        <f t="shared" si="21"/>
        <v>Below Avg</v>
      </c>
      <c r="U1404" s="1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 s="1">
        <v>13341</v>
      </c>
      <c r="T1405" s="3" t="str">
        <f t="shared" si="21"/>
        <v>Above Avg</v>
      </c>
      <c r="U1405" s="1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 s="1">
        <v>4332</v>
      </c>
      <c r="T1406" s="3" t="str">
        <f t="shared" si="21"/>
        <v>Below Avg</v>
      </c>
      <c r="U1406" s="1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 s="1">
        <v>11031</v>
      </c>
      <c r="T1407" s="3" t="str">
        <f t="shared" si="21"/>
        <v>Above Avg</v>
      </c>
      <c r="U1407" s="1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 s="1">
        <v>4440</v>
      </c>
      <c r="T1408" s="3" t="str">
        <f t="shared" si="21"/>
        <v>Below Avg</v>
      </c>
      <c r="U1408" s="1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 s="1">
        <v>4617</v>
      </c>
      <c r="T1409" s="3" t="str">
        <f t="shared" si="21"/>
        <v>Below Avg</v>
      </c>
      <c r="U1409" s="1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 s="1">
        <v>2647</v>
      </c>
      <c r="T1410" s="3" t="str">
        <f t="shared" ref="T1410:T1471" si="22">IF( S1410 &lt; AVERAGE($S$2:$S$1471), "Below Avg", "Above Avg" )</f>
        <v>Below Avg</v>
      </c>
      <c r="U1410" s="1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 s="1">
        <v>6323</v>
      </c>
      <c r="T1411" s="3" t="str">
        <f t="shared" si="22"/>
        <v>Below Avg</v>
      </c>
      <c r="U1411" s="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 s="1">
        <v>5677</v>
      </c>
      <c r="T1412" s="3" t="str">
        <f t="shared" si="22"/>
        <v>Below Avg</v>
      </c>
      <c r="U1412" s="1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 s="1">
        <v>2187</v>
      </c>
      <c r="T1413" s="3" t="str">
        <f t="shared" si="22"/>
        <v>Below Avg</v>
      </c>
      <c r="U1413" s="1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 s="1">
        <v>3748</v>
      </c>
      <c r="T1414" s="3" t="str">
        <f t="shared" si="22"/>
        <v>Below Avg</v>
      </c>
      <c r="U1414" s="1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 s="1">
        <v>3977</v>
      </c>
      <c r="T1415" s="3" t="str">
        <f t="shared" si="22"/>
        <v>Below Avg</v>
      </c>
      <c r="U1415" s="1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 s="1">
        <v>8633</v>
      </c>
      <c r="T1416" s="3" t="str">
        <f t="shared" si="22"/>
        <v>Above Avg</v>
      </c>
      <c r="U1416" s="1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 s="1">
        <v>2008</v>
      </c>
      <c r="T1417" s="3" t="str">
        <f t="shared" si="22"/>
        <v>Below Avg</v>
      </c>
      <c r="U1417" s="1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 s="1">
        <v>4440</v>
      </c>
      <c r="T1418" s="3" t="str">
        <f t="shared" si="22"/>
        <v>Below Avg</v>
      </c>
      <c r="U1418" s="1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 s="1">
        <v>3067</v>
      </c>
      <c r="T1419" s="3" t="str">
        <f t="shared" si="22"/>
        <v>Below Avg</v>
      </c>
      <c r="U1419" s="1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 s="1">
        <v>5321</v>
      </c>
      <c r="T1420" s="3" t="str">
        <f t="shared" si="22"/>
        <v>Below Avg</v>
      </c>
      <c r="U1420" s="1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 s="1">
        <v>5410</v>
      </c>
      <c r="T1421" s="3" t="str">
        <f t="shared" si="22"/>
        <v>Below Avg</v>
      </c>
      <c r="U1421" s="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 s="1">
        <v>2782</v>
      </c>
      <c r="T1422" s="3" t="str">
        <f t="shared" si="22"/>
        <v>Below Avg</v>
      </c>
      <c r="U1422" s="1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 s="1">
        <v>11957</v>
      </c>
      <c r="T1423" s="3" t="str">
        <f t="shared" si="22"/>
        <v>Above Avg</v>
      </c>
      <c r="U1423" s="1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 s="1">
        <v>2660</v>
      </c>
      <c r="T1424" s="3" t="str">
        <f t="shared" si="22"/>
        <v>Below Avg</v>
      </c>
      <c r="U1424" s="1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 s="1">
        <v>3375</v>
      </c>
      <c r="T1425" s="3" t="str">
        <f t="shared" si="22"/>
        <v>Below Avg</v>
      </c>
      <c r="U1425" s="1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 s="1">
        <v>5098</v>
      </c>
      <c r="T1426" s="3" t="str">
        <f t="shared" si="22"/>
        <v>Below Avg</v>
      </c>
      <c r="U1426" s="1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 s="1">
        <v>4878</v>
      </c>
      <c r="T1427" s="3" t="str">
        <f t="shared" si="22"/>
        <v>Below Avg</v>
      </c>
      <c r="U1427" s="1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 s="1">
        <v>2837</v>
      </c>
      <c r="T1428" s="3" t="str">
        <f t="shared" si="22"/>
        <v>Below Avg</v>
      </c>
      <c r="U1428" s="1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 s="1">
        <v>2406</v>
      </c>
      <c r="T1429" s="3" t="str">
        <f t="shared" si="22"/>
        <v>Below Avg</v>
      </c>
      <c r="U1429" s="1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 s="1">
        <v>2269</v>
      </c>
      <c r="T1430" s="3" t="str">
        <f t="shared" si="22"/>
        <v>Below Avg</v>
      </c>
      <c r="U1430" s="1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 s="1">
        <v>4108</v>
      </c>
      <c r="T1431" s="3" t="str">
        <f t="shared" si="22"/>
        <v>Below Avg</v>
      </c>
      <c r="U1431" s="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 s="1">
        <v>13206</v>
      </c>
      <c r="T1432" s="3" t="str">
        <f t="shared" si="22"/>
        <v>Above Avg</v>
      </c>
      <c r="U1432" s="1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 s="1">
        <v>10422</v>
      </c>
      <c r="T1433" s="3" t="str">
        <f t="shared" si="22"/>
        <v>Above Avg</v>
      </c>
      <c r="U1433" s="1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 s="1">
        <v>13744</v>
      </c>
      <c r="T1434" s="3" t="str">
        <f t="shared" si="22"/>
        <v>Above Avg</v>
      </c>
      <c r="U1434" s="1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 s="1">
        <v>4907</v>
      </c>
      <c r="T1435" s="3" t="str">
        <f t="shared" si="22"/>
        <v>Below Avg</v>
      </c>
      <c r="U1435" s="1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 s="1">
        <v>3482</v>
      </c>
      <c r="T1436" s="3" t="str">
        <f t="shared" si="22"/>
        <v>Below Avg</v>
      </c>
      <c r="U1436" s="1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 s="1">
        <v>2436</v>
      </c>
      <c r="T1437" s="3" t="str">
        <f t="shared" si="22"/>
        <v>Below Avg</v>
      </c>
      <c r="U1437" s="1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 s="1">
        <v>2380</v>
      </c>
      <c r="T1438" s="3" t="str">
        <f t="shared" si="22"/>
        <v>Below Avg</v>
      </c>
      <c r="U1438" s="1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 s="1">
        <v>19431</v>
      </c>
      <c r="T1439" s="3" t="str">
        <f t="shared" si="22"/>
        <v>Above Avg</v>
      </c>
      <c r="U1439" s="1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 s="1">
        <v>1790</v>
      </c>
      <c r="T1440" s="3" t="str">
        <f t="shared" si="22"/>
        <v>Below Avg</v>
      </c>
      <c r="U1440" s="1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 s="1">
        <v>7644</v>
      </c>
      <c r="T1441" s="3" t="str">
        <f t="shared" si="22"/>
        <v>Above Avg</v>
      </c>
      <c r="U1441" s="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 s="1">
        <v>5131</v>
      </c>
      <c r="T1442" s="3" t="str">
        <f t="shared" si="22"/>
        <v>Below Avg</v>
      </c>
      <c r="U1442" s="1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 s="1">
        <v>6306</v>
      </c>
      <c r="T1443" s="3" t="str">
        <f t="shared" si="22"/>
        <v>Below Avg</v>
      </c>
      <c r="U1443" s="1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 s="1">
        <v>4787</v>
      </c>
      <c r="T1444" s="3" t="str">
        <f t="shared" si="22"/>
        <v>Below Avg</v>
      </c>
      <c r="U1444" s="1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 s="1">
        <v>18880</v>
      </c>
      <c r="T1445" s="3" t="str">
        <f t="shared" si="22"/>
        <v>Above Avg</v>
      </c>
      <c r="U1445" s="1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 s="1">
        <v>2339</v>
      </c>
      <c r="T1446" s="3" t="str">
        <f t="shared" si="22"/>
        <v>Below Avg</v>
      </c>
      <c r="U1446" s="1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1">
        <v>13570</v>
      </c>
      <c r="T1447" s="3" t="str">
        <f t="shared" si="22"/>
        <v>Above Avg</v>
      </c>
      <c r="U1447" s="1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 s="1">
        <v>6712</v>
      </c>
      <c r="T1448" s="3" t="str">
        <f t="shared" si="22"/>
        <v>Above Avg</v>
      </c>
      <c r="U1448" s="1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 s="1">
        <v>5406</v>
      </c>
      <c r="T1449" s="3" t="str">
        <f t="shared" si="22"/>
        <v>Below Avg</v>
      </c>
      <c r="U1449" s="1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 s="1">
        <v>8938</v>
      </c>
      <c r="T1450" s="3" t="str">
        <f t="shared" si="22"/>
        <v>Above Avg</v>
      </c>
      <c r="U1450" s="1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 s="1">
        <v>2439</v>
      </c>
      <c r="T1451" s="3" t="str">
        <f t="shared" si="22"/>
        <v>Below Avg</v>
      </c>
      <c r="U1451" s="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 s="1">
        <v>8837</v>
      </c>
      <c r="T1452" s="3" t="str">
        <f t="shared" si="22"/>
        <v>Above Avg</v>
      </c>
      <c r="U1452" s="1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 s="1">
        <v>5343</v>
      </c>
      <c r="T1453" s="3" t="str">
        <f t="shared" si="22"/>
        <v>Below Avg</v>
      </c>
      <c r="U1453" s="1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 s="1">
        <v>6728</v>
      </c>
      <c r="T1454" s="3" t="str">
        <f t="shared" si="22"/>
        <v>Above Avg</v>
      </c>
      <c r="U1454" s="1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 s="1">
        <v>6652</v>
      </c>
      <c r="T1455" s="3" t="str">
        <f t="shared" si="22"/>
        <v>Above Avg</v>
      </c>
      <c r="U1455" s="1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 s="1">
        <v>4850</v>
      </c>
      <c r="T1456" s="3" t="str">
        <f t="shared" si="22"/>
        <v>Below Avg</v>
      </c>
      <c r="U1456" s="1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 s="1">
        <v>2809</v>
      </c>
      <c r="T1457" s="3" t="str">
        <f t="shared" si="22"/>
        <v>Below Avg</v>
      </c>
      <c r="U1457" s="1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 s="1">
        <v>5689</v>
      </c>
      <c r="T1458" s="3" t="str">
        <f t="shared" si="22"/>
        <v>Below Avg</v>
      </c>
      <c r="U1458" s="1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 s="1">
        <v>2001</v>
      </c>
      <c r="T1459" s="3" t="str">
        <f t="shared" si="22"/>
        <v>Below Avg</v>
      </c>
      <c r="U1459" s="1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 s="1">
        <v>2977</v>
      </c>
      <c r="T1460" s="3" t="str">
        <f t="shared" si="22"/>
        <v>Below Avg</v>
      </c>
      <c r="U1460" s="1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 s="1">
        <v>4025</v>
      </c>
      <c r="T1461" s="3" t="str">
        <f t="shared" si="22"/>
        <v>Below Avg</v>
      </c>
      <c r="U1461" s="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 s="1">
        <v>3785</v>
      </c>
      <c r="T1462" s="3" t="str">
        <f t="shared" si="22"/>
        <v>Below Avg</v>
      </c>
      <c r="U1462" s="1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 s="1">
        <v>10854</v>
      </c>
      <c r="T1463" s="3" t="str">
        <f t="shared" si="22"/>
        <v>Above Avg</v>
      </c>
      <c r="U1463" s="1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 s="1">
        <v>12031</v>
      </c>
      <c r="T1464" s="3" t="str">
        <f t="shared" si="22"/>
        <v>Above Avg</v>
      </c>
      <c r="U1464" s="1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 s="1">
        <v>9936</v>
      </c>
      <c r="T1465" s="3" t="str">
        <f t="shared" si="22"/>
        <v>Above Avg</v>
      </c>
      <c r="U1465" s="1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 s="1">
        <v>2966</v>
      </c>
      <c r="T1466" s="3" t="str">
        <f t="shared" si="22"/>
        <v>Below Avg</v>
      </c>
      <c r="U1466" s="1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 s="1">
        <v>2571</v>
      </c>
      <c r="T1467" s="3" t="str">
        <f t="shared" si="22"/>
        <v>Below Avg</v>
      </c>
      <c r="U1467" s="1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 s="1">
        <v>9991</v>
      </c>
      <c r="T1468" s="3" t="str">
        <f t="shared" si="22"/>
        <v>Above Avg</v>
      </c>
      <c r="U1468" s="1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 s="1">
        <v>6142</v>
      </c>
      <c r="T1469" s="3" t="str">
        <f t="shared" si="22"/>
        <v>Below Avg</v>
      </c>
      <c r="U1469" s="1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 s="1">
        <v>5390</v>
      </c>
      <c r="T1470" s="3" t="str">
        <f t="shared" si="22"/>
        <v>Below Avg</v>
      </c>
      <c r="U1470" s="1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 s="1">
        <v>4404</v>
      </c>
      <c r="T1471" s="3" t="str">
        <f t="shared" si="22"/>
        <v>Below Avg</v>
      </c>
      <c r="U1471" s="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14" sqref="C14"/>
    </sheetView>
  </sheetViews>
  <sheetFormatPr baseColWidth="10" defaultRowHeight="14.5"/>
  <cols>
    <col min="1" max="1" width="22.90625" style="10" bestFit="1" customWidth="1"/>
    <col min="2" max="2" width="13.54296875" style="10" bestFit="1" customWidth="1"/>
    <col min="3" max="16384" width="10.90625" style="10"/>
  </cols>
  <sheetData>
    <row r="1" spans="1:4">
      <c r="A1" s="10" t="s">
        <v>15</v>
      </c>
      <c r="B1" s="11" t="s">
        <v>64</v>
      </c>
      <c r="C1" s="10" t="s">
        <v>65</v>
      </c>
      <c r="D1" s="11" t="s">
        <v>66</v>
      </c>
    </row>
    <row r="2" spans="1:4">
      <c r="A2" s="10" t="s">
        <v>54</v>
      </c>
      <c r="B2" s="11">
        <f>SUMIF(ANALYZED!$P$2:$P$1471,A2,ANALYZED!$S$2:$S$1471)</f>
        <v>986268</v>
      </c>
      <c r="C2" s="10">
        <f>COUNTIF(ANALYZED!$P$2:$P$1471,A2)</f>
        <v>131</v>
      </c>
      <c r="D2" s="11">
        <f>B2/C2</f>
        <v>7528.7633587786258</v>
      </c>
    </row>
    <row r="3" spans="1:4">
      <c r="A3" s="10" t="s">
        <v>61</v>
      </c>
      <c r="B3" s="11">
        <f>SUMIF(ANALYZED!$P$2:$P$1471,A3,ANALYZED!$S$2:$S$1471)</f>
        <v>220259</v>
      </c>
      <c r="C3" s="10">
        <f>COUNTIF(ANALYZED!$P$2:$P$1471,A3)</f>
        <v>52</v>
      </c>
      <c r="D3" s="11">
        <f t="shared" ref="D3:D10" si="0">B3/C3</f>
        <v>4235.75</v>
      </c>
    </row>
    <row r="4" spans="1:4">
      <c r="A4" s="10" t="s">
        <v>50</v>
      </c>
      <c r="B4" s="11">
        <f>SUMIF(ANALYZED!$P$2:$P$1471,A4,ANALYZED!$S$2:$S$1471)</f>
        <v>838427</v>
      </c>
      <c r="C4" s="10">
        <f>COUNTIF(ANALYZED!$P$2:$P$1471,A4)</f>
        <v>259</v>
      </c>
      <c r="D4" s="11">
        <f t="shared" si="0"/>
        <v>3237.169884169884</v>
      </c>
    </row>
    <row r="5" spans="1:4">
      <c r="A5" s="10" t="s">
        <v>56</v>
      </c>
      <c r="B5" s="11">
        <f>SUMIF(ANALYZED!$P$2:$P$1471,A5,ANALYZED!$S$2:$S$1471)</f>
        <v>1752531</v>
      </c>
      <c r="C5" s="10">
        <f>COUNTIF(ANALYZED!$P$2:$P$1471,A5)</f>
        <v>102</v>
      </c>
      <c r="D5" s="11">
        <f t="shared" si="0"/>
        <v>17181.676470588234</v>
      </c>
    </row>
    <row r="6" spans="1:4">
      <c r="A6" s="10" t="s">
        <v>53</v>
      </c>
      <c r="B6" s="11">
        <f>SUMIF(ANALYZED!$P$2:$P$1471,A6,ANALYZED!$S$2:$S$1471)</f>
        <v>1057795</v>
      </c>
      <c r="C6" s="10">
        <f>COUNTIF(ANALYZED!$P$2:$P$1471,A6)</f>
        <v>145</v>
      </c>
      <c r="D6" s="11">
        <f t="shared" si="0"/>
        <v>7295.1379310344828</v>
      </c>
    </row>
    <row r="7" spans="1:4">
      <c r="A7" s="10" t="s">
        <v>58</v>
      </c>
      <c r="B7" s="11">
        <f>SUMIF(ANALYZED!$P$2:$P$1471,A7,ANALYZED!$S$2:$S$1471)</f>
        <v>1282684</v>
      </c>
      <c r="C7" s="10">
        <f>COUNTIF(ANALYZED!$P$2:$P$1471,A7)</f>
        <v>80</v>
      </c>
      <c r="D7" s="11">
        <f t="shared" si="0"/>
        <v>16033.55</v>
      </c>
    </row>
    <row r="8" spans="1:4">
      <c r="A8" s="10" t="s">
        <v>47</v>
      </c>
      <c r="B8" s="8">
        <f>SUMIF(ANALYZED!$P$2:$P$1471,A8,ANALYZED!$S$2:$S$1471)</f>
        <v>946072</v>
      </c>
      <c r="C8" s="10">
        <f>COUNTIF(ANALYZED!$P$2:$P$1471,A8)</f>
        <v>292</v>
      </c>
      <c r="D8" s="11">
        <f t="shared" si="0"/>
        <v>3239.972602739726</v>
      </c>
    </row>
    <row r="9" spans="1:4">
      <c r="A9" s="10" t="s">
        <v>40</v>
      </c>
      <c r="B9" s="11">
        <f>SUMIF(ANALYZED!$P$2:$P$1471,A9,ANALYZED!$S$2:$S$1471)</f>
        <v>2257315</v>
      </c>
      <c r="C9" s="10">
        <f>COUNTIF(ANALYZED!$P$2:$P$1471,A9)</f>
        <v>326</v>
      </c>
      <c r="D9" s="11">
        <f t="shared" si="0"/>
        <v>6924.2791411042945</v>
      </c>
    </row>
    <row r="10" spans="1:4">
      <c r="A10" s="10" t="s">
        <v>57</v>
      </c>
      <c r="B10" s="11">
        <f>SUMIF(ANALYZED!$P$2:$P$1471,A10,ANALYZED!$S$2:$S$1471)</f>
        <v>217958</v>
      </c>
      <c r="C10" s="10">
        <f>COUNTIF(ANALYZED!$P$2:$P$1471,A10)</f>
        <v>83</v>
      </c>
      <c r="D10" s="11">
        <f t="shared" si="0"/>
        <v>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sqref="A1:XFD1048576"/>
    </sheetView>
  </sheetViews>
  <sheetFormatPr baseColWidth="10" defaultRowHeight="14.5"/>
  <cols>
    <col min="1" max="1" width="22" style="4" bestFit="1" customWidth="1"/>
    <col min="2" max="2" width="11.1796875" style="4" bestFit="1" customWidth="1"/>
    <col min="3" max="3" width="14.453125" style="4" bestFit="1" customWidth="1"/>
    <col min="4" max="4" width="11.90625" style="4" bestFit="1" customWidth="1"/>
    <col min="5" max="5" width="13.54296875" style="8" bestFit="1" customWidth="1"/>
    <col min="6" max="6" width="9.90625" style="4" bestFit="1" customWidth="1"/>
    <col min="7" max="7" width="11.7265625" style="8" bestFit="1" customWidth="1"/>
    <col min="8" max="8" width="11.1796875" style="4" bestFit="1" customWidth="1"/>
    <col min="9" max="9" width="13.1796875" style="4" bestFit="1" customWidth="1"/>
    <col min="10" max="16384" width="10.90625" style="4"/>
  </cols>
  <sheetData>
    <row r="1" spans="1:4" s="4" customFormat="1">
      <c r="A1" s="4" t="s">
        <v>63</v>
      </c>
      <c r="B1" s="4" t="s">
        <v>67</v>
      </c>
      <c r="C1" s="4" t="s">
        <v>69</v>
      </c>
      <c r="D1" s="4" t="s">
        <v>68</v>
      </c>
    </row>
    <row r="2" spans="1:4" s="4" customFormat="1">
      <c r="A2" s="6" t="s">
        <v>37</v>
      </c>
      <c r="B2" s="4">
        <f>COUNTIFS(ANALYZED!$E$2:$E$1471,"Sales",ANALYZED!$B$2:$B$1471,"Yes")</f>
        <v>92</v>
      </c>
      <c r="C2" s="6">
        <f>COUNTIF(ANALYZED!$E$2:$E$1471,A2)</f>
        <v>446</v>
      </c>
      <c r="D2" s="7">
        <f>B2/C2</f>
        <v>0.20627802690582961</v>
      </c>
    </row>
    <row r="3" spans="1:4" s="4" customFormat="1">
      <c r="A3" s="4" t="s">
        <v>45</v>
      </c>
      <c r="B3" s="4">
        <f>COUNTIFS(ANALYZED!$E$2:$E$1471,"Research &amp; Development",ANALYZED!$B$2:$B$1471,"Yes")</f>
        <v>133</v>
      </c>
      <c r="C3" s="6">
        <f>COUNTIF(ANALYZED!$E$2:$E$1471,A3)</f>
        <v>961</v>
      </c>
      <c r="D3" s="7">
        <f t="shared" ref="D3:D4" si="0">B3/C3</f>
        <v>0.13839750260145681</v>
      </c>
    </row>
    <row r="4" spans="1:4" s="4" customFormat="1">
      <c r="A4" s="4" t="s">
        <v>61</v>
      </c>
      <c r="B4" s="4">
        <f>COUNTIFS(ANALYZED!$E$2:$E$1471,"Human Resources",ANALYZED!$B$2:$B$1471,"Yes")</f>
        <v>12</v>
      </c>
      <c r="C4" s="6">
        <f>COUNTIF(ANALYZED!$E$2:$E$1471,A4)</f>
        <v>63</v>
      </c>
      <c r="D4" s="7">
        <f t="shared" si="0"/>
        <v>0.19047619047619047</v>
      </c>
    </row>
    <row r="5" spans="1:4" s="4" customFormat="1"/>
    <row r="6" spans="1:4" s="4" customFormat="1"/>
    <row r="7" spans="1:4" s="4" customFormat="1">
      <c r="A7" s="9"/>
      <c r="B7" s="9"/>
    </row>
    <row r="8" spans="1:4" s="4" customFormat="1"/>
    <row r="9" spans="1:4" s="4" customFormat="1"/>
    <row r="10" spans="1:4" s="4" customFormat="1"/>
    <row r="11" spans="1:4" s="4" customFormat="1"/>
    <row r="12" spans="1:4" s="4" customForma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sqref="A1:XFD1048576"/>
    </sheetView>
  </sheetViews>
  <sheetFormatPr baseColWidth="10" defaultRowHeight="14.5"/>
  <cols>
    <col min="1" max="1" width="22.90625" style="4" bestFit="1" customWidth="1"/>
    <col min="2" max="2" width="10.90625" style="4"/>
    <col min="3" max="3" width="11.1796875" style="4" bestFit="1" customWidth="1"/>
    <col min="4" max="16384" width="10.90625" style="4"/>
  </cols>
  <sheetData>
    <row r="1" spans="1:4">
      <c r="A1" s="4" t="s">
        <v>15</v>
      </c>
      <c r="B1" s="4" t="s">
        <v>65</v>
      </c>
      <c r="C1" s="4" t="s">
        <v>67</v>
      </c>
      <c r="D1" s="8" t="s">
        <v>68</v>
      </c>
    </row>
    <row r="2" spans="1:4">
      <c r="A2" s="4" t="s">
        <v>54</v>
      </c>
      <c r="B2" s="4">
        <f>COUNTIF(ANALYZED!$P$2:$P$1471,A2)</f>
        <v>131</v>
      </c>
      <c r="C2" s="4">
        <f>COUNTIFS(ANALYZED!$P$2:$P$1471,A2,ANALYZED!$B$2:$B$1471,"Yes")</f>
        <v>9</v>
      </c>
      <c r="D2" s="7">
        <f>C2/B2</f>
        <v>6.8702290076335881E-2</v>
      </c>
    </row>
    <row r="3" spans="1:4">
      <c r="A3" s="4" t="s">
        <v>61</v>
      </c>
      <c r="B3" s="4">
        <f>COUNTIF(ANALYZED!$P$2:$P$1471,A3)</f>
        <v>52</v>
      </c>
      <c r="C3" s="4">
        <f>COUNTIFS(ANALYZED!$P$2:$P$1471,A3,ANALYZED!$B$2:$B$1471,"Yes")</f>
        <v>12</v>
      </c>
      <c r="D3" s="7">
        <f t="shared" ref="D3:D10" si="0">C3/B3</f>
        <v>0.23076923076923078</v>
      </c>
    </row>
    <row r="4" spans="1:4">
      <c r="A4" s="4" t="s">
        <v>50</v>
      </c>
      <c r="B4" s="4">
        <f>COUNTIF(ANALYZED!$P$2:$P$1471,A4)</f>
        <v>259</v>
      </c>
      <c r="C4" s="4">
        <f>COUNTIFS(ANALYZED!$P$2:$P$1471,A4,ANALYZED!$B$2:$B$1471,"Yes")</f>
        <v>62</v>
      </c>
      <c r="D4" s="7">
        <f t="shared" si="0"/>
        <v>0.23938223938223938</v>
      </c>
    </row>
    <row r="5" spans="1:4">
      <c r="A5" s="4" t="s">
        <v>56</v>
      </c>
      <c r="B5" s="4">
        <f>COUNTIF(ANALYZED!$P$2:$P$1471,A5)</f>
        <v>102</v>
      </c>
      <c r="C5" s="4">
        <f>COUNTIFS(ANALYZED!$P$2:$P$1471,A5,ANALYZED!$B$2:$B$1471,"Yes")</f>
        <v>5</v>
      </c>
      <c r="D5" s="7">
        <f t="shared" si="0"/>
        <v>4.9019607843137254E-2</v>
      </c>
    </row>
    <row r="6" spans="1:4">
      <c r="A6" s="4" t="s">
        <v>53</v>
      </c>
      <c r="B6" s="4">
        <f>COUNTIF(ANALYZED!$P$2:$P$1471,A6)</f>
        <v>145</v>
      </c>
      <c r="C6" s="4">
        <f>COUNTIFS(ANALYZED!$P$2:$P$1471,A6,ANALYZED!$B$2:$B$1471,"Yes")</f>
        <v>10</v>
      </c>
      <c r="D6" s="7">
        <f t="shared" si="0"/>
        <v>6.8965517241379309E-2</v>
      </c>
    </row>
    <row r="7" spans="1:4">
      <c r="A7" s="4" t="s">
        <v>58</v>
      </c>
      <c r="B7" s="4">
        <f>COUNTIF(ANALYZED!$P$2:$P$1471,A7)</f>
        <v>80</v>
      </c>
      <c r="C7" s="4">
        <f>COUNTIFS(ANALYZED!$P$2:$P$1471,A7,ANALYZED!$B$2:$B$1471,"Yes")</f>
        <v>2</v>
      </c>
      <c r="D7" s="7">
        <f t="shared" si="0"/>
        <v>2.5000000000000001E-2</v>
      </c>
    </row>
    <row r="8" spans="1:4">
      <c r="A8" s="4" t="s">
        <v>47</v>
      </c>
      <c r="B8" s="4">
        <f>COUNTIF(ANALYZED!$P$2:$P$1471,A8)</f>
        <v>292</v>
      </c>
      <c r="C8" s="4">
        <f>COUNTIFS(ANALYZED!$P$2:$P$1471,A8,ANALYZED!$B$2:$B$1471,"Yes")</f>
        <v>47</v>
      </c>
      <c r="D8" s="7">
        <f t="shared" si="0"/>
        <v>0.16095890410958905</v>
      </c>
    </row>
    <row r="9" spans="1:4">
      <c r="A9" s="4" t="s">
        <v>40</v>
      </c>
      <c r="B9" s="4">
        <f>COUNTIF(ANALYZED!$P$2:$P$1471,A9)</f>
        <v>326</v>
      </c>
      <c r="C9" s="4">
        <f>COUNTIFS(ANALYZED!$P$2:$P$1471,A9,ANALYZED!$B$2:$B$1471,"Yes")</f>
        <v>57</v>
      </c>
      <c r="D9" s="7">
        <f t="shared" si="0"/>
        <v>0.17484662576687116</v>
      </c>
    </row>
    <row r="10" spans="1:4">
      <c r="A10" s="4" t="s">
        <v>57</v>
      </c>
      <c r="B10" s="4">
        <f>COUNTIF(ANALYZED!$P$2:$P$1471,A10)</f>
        <v>83</v>
      </c>
      <c r="C10" s="4">
        <f>COUNTIFS(ANALYZED!$P$2:$P$1471,A10,ANALYZED!$B$2:$B$1471,"Yes")</f>
        <v>33</v>
      </c>
      <c r="D10" s="7">
        <f t="shared" si="0"/>
        <v>0.39759036144578314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sqref="A1:XFD1048576"/>
    </sheetView>
  </sheetViews>
  <sheetFormatPr baseColWidth="10" defaultRowHeight="14.5"/>
  <cols>
    <col min="1" max="2" width="10.90625" style="4"/>
    <col min="3" max="3" width="14.453125" style="4" bestFit="1" customWidth="1"/>
    <col min="4" max="4" width="11.90625" style="4" bestFit="1" customWidth="1"/>
    <col min="5" max="16384" width="10.90625" style="4"/>
  </cols>
  <sheetData>
    <row r="1" spans="1:4">
      <c r="A1" s="4" t="s">
        <v>70</v>
      </c>
      <c r="B1" s="4" t="s">
        <v>71</v>
      </c>
      <c r="C1" s="4" t="s">
        <v>69</v>
      </c>
      <c r="D1" s="4" t="s">
        <v>68</v>
      </c>
    </row>
    <row r="2" spans="1:4">
      <c r="A2" s="4" t="s">
        <v>35</v>
      </c>
      <c r="B2" s="4">
        <f>COUNTIFS(ANALYZED!$X$2:$X$1471,"Yes",ANALYZED!$B$2:$B$1471,"Yes")</f>
        <v>127</v>
      </c>
      <c r="C2" s="6">
        <f>COUNTIF(ANALYZED!$X$2:$X$1471,A2)</f>
        <v>416</v>
      </c>
      <c r="D2" s="7">
        <f>B2/C2</f>
        <v>0.30528846153846156</v>
      </c>
    </row>
    <row r="3" spans="1:4">
      <c r="A3" s="4" t="s">
        <v>43</v>
      </c>
      <c r="B3" s="4">
        <f>COUNTIFS(ANALYZED!$X$2:$X$1471,"No",ANALYZED!$B$2:$B$1471,"Yes")</f>
        <v>110</v>
      </c>
      <c r="C3" s="6">
        <f>COUNTIF(ANALYZED!$X$2:$X$1471,A3)</f>
        <v>1054</v>
      </c>
      <c r="D3" s="7">
        <f>B3/C3</f>
        <v>0.10436432637571158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E11" sqref="E11"/>
    </sheetView>
  </sheetViews>
  <sheetFormatPr baseColWidth="10" defaultRowHeight="14.5"/>
  <cols>
    <col min="1" max="1" width="10.90625" style="4"/>
    <col min="2" max="2" width="16.81640625" style="4" bestFit="1" customWidth="1"/>
    <col min="3" max="3" width="10.90625" style="4"/>
    <col min="4" max="4" width="14.453125" style="4" bestFit="1" customWidth="1"/>
    <col min="5" max="16384" width="10.90625" style="4"/>
  </cols>
  <sheetData>
    <row r="1" spans="1:5">
      <c r="A1" s="4" t="s">
        <v>72</v>
      </c>
      <c r="B1" s="4" t="s">
        <v>78</v>
      </c>
      <c r="C1" s="4" t="s">
        <v>67</v>
      </c>
      <c r="D1" s="4" t="s">
        <v>69</v>
      </c>
      <c r="E1" s="4" t="s">
        <v>68</v>
      </c>
    </row>
    <row r="2" spans="1:5">
      <c r="A2" s="4" t="s">
        <v>73</v>
      </c>
      <c r="B2" s="4" t="s">
        <v>79</v>
      </c>
      <c r="C2" s="4">
        <f>COUNTIFS(ANALYZED!$A$2:$A$1471,"&gt;="&amp;18,ANALYZED!$A$2:$A$1471,"&lt;="&amp;25,ANALYZED!$B$2:$B$1471,"Yes")</f>
        <v>44</v>
      </c>
      <c r="D2" s="4">
        <f>COUNTIFS(ANALYZED!$A$2:$A$1471,"&gt;="&amp;18,ANALYZED!$A$2:$A$1471,"&lt;="&amp;25)</f>
        <v>123</v>
      </c>
      <c r="E2" s="5">
        <f>C2/D2</f>
        <v>0.35772357723577236</v>
      </c>
    </row>
    <row r="3" spans="1:5">
      <c r="A3" s="4" t="s">
        <v>74</v>
      </c>
      <c r="B3" s="4" t="s">
        <v>80</v>
      </c>
      <c r="C3" s="4">
        <f>COUNTIFS(ANALYZED!$A$2:$A$1471,"&gt;="&amp;26,ANALYZED!$A$2:$A$1471,"&lt;="&amp;35,ANALYZED!$B$2:$B$1471,"Yes")</f>
        <v>116</v>
      </c>
      <c r="D3" s="4">
        <f>COUNTIFS(ANALYZED!$A$2:$A$1471,"&gt;="&amp;26,ANALYZED!$A$2:$A$1471,"&lt;="&amp;35)</f>
        <v>606</v>
      </c>
      <c r="E3" s="5">
        <f t="shared" ref="E3:E6" si="0">C3/D3</f>
        <v>0.19141914191419143</v>
      </c>
    </row>
    <row r="4" spans="1:5">
      <c r="A4" s="4" t="s">
        <v>75</v>
      </c>
      <c r="B4" s="4" t="s">
        <v>81</v>
      </c>
      <c r="C4" s="4">
        <f>COUNTIFS(ANALYZED!$A$2:$A$1471,"&gt;="&amp;36,ANALYZED!$A$2:$A$1471,"&lt;="&amp;45,ANALYZED!$B$2:$B$1471,"Yes")</f>
        <v>43</v>
      </c>
      <c r="D4" s="4">
        <f>COUNTIFS(ANALYZED!$A$2:$A$1471,"&gt;="&amp;36,ANALYZED!$A$2:$A$1471,"&lt;="&amp;45)</f>
        <v>468</v>
      </c>
      <c r="E4" s="5">
        <f t="shared" si="0"/>
        <v>9.1880341880341887E-2</v>
      </c>
    </row>
    <row r="5" spans="1:5">
      <c r="A5" s="4" t="s">
        <v>76</v>
      </c>
      <c r="B5" s="4" t="s">
        <v>82</v>
      </c>
      <c r="C5" s="4">
        <f>COUNTIFS(ANALYZED!$A$2:$A$1471,"&gt;="&amp;46,ANALYZED!$A$2:$A$1471,"&lt;="&amp;55,ANALYZED!$B$2:$B$1471,"Yes")</f>
        <v>26</v>
      </c>
      <c r="D5" s="4">
        <f>COUNTIFS(ANALYZED!$A$2:$A$1471,"&gt;="&amp;46,ANALYZED!$A$2:$A$1471,"&lt;="&amp;55)</f>
        <v>226</v>
      </c>
      <c r="E5" s="5">
        <f t="shared" si="0"/>
        <v>0.11504424778761062</v>
      </c>
    </row>
    <row r="6" spans="1:5">
      <c r="A6" s="4" t="s">
        <v>77</v>
      </c>
      <c r="B6" s="4" t="s">
        <v>83</v>
      </c>
      <c r="C6" s="4">
        <f>COUNTIFS(ANALYZED!$A$2:$A$1471,"&gt;="&amp;56,ANALYZED!$A$2:$A$1471,"&lt;="&amp;60,ANALYZED!$B$2:$B$1471,"Yes")</f>
        <v>8</v>
      </c>
      <c r="D6" s="4">
        <f>COUNTIFS(ANALYZED!$A$2:$A$1471,"&gt;="&amp;56,ANALYZED!$A$2:$A$1471,"&lt;="&amp;60)</f>
        <v>47</v>
      </c>
      <c r="E6" s="5">
        <f t="shared" si="0"/>
        <v>0.1702127659574468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ANALYZED</vt:lpstr>
      <vt:lpstr>JobRole_Income</vt:lpstr>
      <vt:lpstr>Dep_Attrition</vt:lpstr>
      <vt:lpstr>JobRole_Attrit.</vt:lpstr>
      <vt:lpstr>Overtime_Attrition</vt:lpstr>
      <vt:lpstr>Age_Attrition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official compt</dc:creator>
  <cp:lastModifiedBy>official compt</cp:lastModifiedBy>
  <dcterms:created xsi:type="dcterms:W3CDTF">2026-04-25T21:06:16Z</dcterms:created>
  <dcterms:modified xsi:type="dcterms:W3CDTF">2026-04-26T20:48:32Z</dcterms:modified>
</cp:coreProperties>
</file>